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D:\2 0 2 5\Apollo Report\2025\2025-SEMESTER 2\"/>
    </mc:Choice>
  </mc:AlternateContent>
  <xr:revisionPtr revIDLastSave="0" documentId="13_ncr:1_{41D9EE04-28E9-408E-8299-B2C012B1D34D}" xr6:coauthVersionLast="47" xr6:coauthVersionMax="47" xr10:uidLastSave="{00000000-0000-0000-0000-000000000000}"/>
  <bookViews>
    <workbookView xWindow="-108" yWindow="-108" windowWidth="23256" windowHeight="12456" tabRatio="624" firstSheet="1" activeTab="3" xr2:uid="{00000000-000D-0000-FFFF-FFFF00000000}"/>
  </bookViews>
  <sheets>
    <sheet name="DATA" sheetId="3" state="hidden" r:id="rId1"/>
    <sheet name="Daftar Form" sheetId="72" r:id="rId2"/>
    <sheet name="Header" sheetId="1" r:id="rId3"/>
    <sheet name="01A" sheetId="88" r:id="rId4"/>
    <sheet name="01B" sheetId="99" r:id="rId5"/>
    <sheet name="#REF" sheetId="87" r:id="rId6"/>
  </sheets>
  <functionGroups builtInGroupCount="19"/>
  <definedNames>
    <definedName name="correctionType">DATA!$A$2:$A$4</definedName>
    <definedName name="refAktifitasterkaitFraud">'#REF'!$C$94:$C$121</definedName>
    <definedName name="refJabatanPelakuSaatFraudDiketahui">'#REF'!$C$232:$C$249</definedName>
    <definedName name="refJabatanPelakuSaatFraudTerjadi">'#REF'!$C$216:$C$228</definedName>
    <definedName name="refJenisFraud">'#REF'!$C$80:$C$90</definedName>
    <definedName name="refJenisIdentitas">'#REF'!$C$199:$C$202</definedName>
    <definedName name="refJenisKelamin">'#REF'!$C$206:$C$207</definedName>
    <definedName name="refKejadianFraudJoin">'#REF'!$C$15:$C$20</definedName>
    <definedName name="refKejadianMenurutPelaku">'#REF'!$C$3:$C$5</definedName>
    <definedName name="refKejadianMenurutPelakuSig">'#REF'!$C$9:$C$11</definedName>
    <definedName name="refKelemahanPenyebabFraud">'#REF'!$C$149:$C$164</definedName>
    <definedName name="refKeteranganPelaku">'#REF'!$C$253:$C$255</definedName>
    <definedName name="refLokasiFraud">'#REF'!$C$125:$C$139</definedName>
    <definedName name="refPelakuFraud">'#REF'!$C$194:$C$195</definedName>
    <definedName name="refPihakYangDirugikan">'#REF'!$C$143:$C$145</definedName>
    <definedName name="refSectorCode">'#REF'!$C$24:$C$76</definedName>
    <definedName name="refStatus">'#REF'!$C$259:$C$262</definedName>
    <definedName name="refStatusPelaku">'#REF'!$C$211:$C$212</definedName>
    <definedName name="refTindakanPerbaikanUntukPencegahanFraud">'#REF'!$C$185:$C$190</definedName>
    <definedName name="refTindakanUntukPenangananFraud">'#REF'!$C$168:$C$181</definedName>
    <definedName name="refYT">DATA!$A$13:$A$14</definedName>
    <definedName name="reportCode">DATA!$A$7:$A$10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0" i="87" l="1"/>
  <c r="C61" i="87"/>
  <c r="C62" i="87"/>
  <c r="C63" i="87"/>
  <c r="C64" i="87"/>
  <c r="C65" i="87"/>
  <c r="C66" i="87"/>
  <c r="C67" i="87"/>
  <c r="C68" i="87"/>
  <c r="C69" i="87"/>
  <c r="C70" i="87"/>
  <c r="C71" i="87"/>
  <c r="C72" i="87"/>
  <c r="C73" i="87"/>
  <c r="C74" i="87"/>
  <c r="C75" i="87"/>
  <c r="C76" i="87"/>
  <c r="C267" i="87"/>
  <c r="C268" i="87"/>
  <c r="C269" i="87"/>
  <c r="C270" i="87"/>
  <c r="C271" i="87"/>
  <c r="C272" i="87"/>
  <c r="C273" i="87"/>
  <c r="C274" i="87"/>
  <c r="C275" i="87"/>
  <c r="C276" i="87"/>
  <c r="C277" i="87"/>
  <c r="C278" i="87"/>
  <c r="C279" i="87"/>
  <c r="C280" i="87"/>
  <c r="C281" i="87"/>
  <c r="C282" i="87"/>
  <c r="C283" i="87"/>
  <c r="C284" i="87"/>
  <c r="C285" i="87"/>
  <c r="C286" i="87"/>
  <c r="C287" i="87"/>
  <c r="C288" i="87"/>
  <c r="C289" i="87"/>
  <c r="C290" i="87"/>
  <c r="C291" i="87"/>
  <c r="C292" i="87"/>
  <c r="C293" i="87"/>
  <c r="C294" i="87"/>
  <c r="C295" i="87"/>
  <c r="C296" i="87"/>
  <c r="C297" i="87"/>
  <c r="C298" i="87"/>
  <c r="C299" i="87"/>
  <c r="C300" i="87"/>
  <c r="C301" i="87"/>
  <c r="C302" i="87"/>
  <c r="C303" i="87"/>
  <c r="C304" i="87"/>
  <c r="C305" i="87"/>
  <c r="C306" i="87"/>
  <c r="C307" i="87"/>
  <c r="C308" i="87"/>
  <c r="C309" i="87"/>
  <c r="C310" i="87"/>
  <c r="C311" i="87"/>
  <c r="C312" i="87"/>
  <c r="C313" i="87"/>
  <c r="C314" i="87"/>
  <c r="C315" i="87"/>
  <c r="C316" i="87"/>
  <c r="C317" i="87"/>
  <c r="C318" i="87"/>
  <c r="C319" i="87"/>
  <c r="C320" i="87"/>
  <c r="C321" i="87"/>
  <c r="C322" i="87"/>
  <c r="C323" i="87"/>
  <c r="C324" i="87"/>
  <c r="C325" i="87"/>
  <c r="C326" i="87"/>
  <c r="C327" i="87"/>
  <c r="C328" i="87"/>
  <c r="C329" i="87"/>
  <c r="C330" i="87"/>
  <c r="C331" i="87"/>
  <c r="C332" i="87"/>
  <c r="C333" i="87"/>
  <c r="C334" i="87"/>
  <c r="C335" i="87"/>
  <c r="C336" i="87"/>
  <c r="C337" i="87"/>
  <c r="C338" i="87"/>
  <c r="C339" i="87"/>
  <c r="C340" i="87"/>
  <c r="C341" i="87"/>
  <c r="C342" i="87"/>
  <c r="C343" i="87"/>
  <c r="C344" i="87"/>
  <c r="C345" i="87"/>
  <c r="C346" i="87"/>
  <c r="C347" i="87"/>
  <c r="C348" i="87"/>
  <c r="C349" i="87"/>
  <c r="C350" i="87"/>
  <c r="C351" i="87"/>
  <c r="C352" i="87"/>
  <c r="C353" i="87"/>
  <c r="C354" i="87"/>
  <c r="C355" i="87"/>
  <c r="C356" i="87"/>
  <c r="C357" i="87"/>
  <c r="C358" i="87"/>
  <c r="C359" i="87"/>
  <c r="C360" i="87"/>
  <c r="C361" i="87"/>
  <c r="C362" i="87"/>
  <c r="C363" i="87"/>
  <c r="C364" i="87"/>
  <c r="C365" i="87"/>
  <c r="C366" i="87"/>
  <c r="C367" i="87"/>
  <c r="C368" i="87"/>
  <c r="C369" i="87"/>
  <c r="C370" i="87"/>
  <c r="C371" i="87"/>
  <c r="C372" i="87"/>
  <c r="C373" i="87"/>
  <c r="C374" i="87"/>
  <c r="C375" i="87"/>
  <c r="C376" i="87"/>
  <c r="C377" i="87"/>
  <c r="C378" i="87"/>
  <c r="C379" i="87"/>
  <c r="C380" i="87"/>
  <c r="C381" i="87"/>
  <c r="C382" i="87"/>
  <c r="C383" i="87"/>
  <c r="C384" i="87"/>
  <c r="C385" i="87"/>
  <c r="C386" i="87"/>
  <c r="C387" i="87"/>
  <c r="C388" i="87"/>
  <c r="C389" i="87"/>
  <c r="C390" i="87"/>
  <c r="C391" i="87"/>
  <c r="C392" i="87"/>
  <c r="C393" i="87"/>
  <c r="C394" i="87"/>
  <c r="C395" i="87"/>
  <c r="C396" i="87"/>
  <c r="C397" i="87"/>
  <c r="C398" i="87"/>
  <c r="C399" i="87"/>
  <c r="C400" i="87"/>
  <c r="C401" i="87"/>
  <c r="C402" i="87"/>
  <c r="C403" i="87"/>
  <c r="C404" i="87"/>
  <c r="C405" i="87"/>
  <c r="C406" i="87"/>
  <c r="C407" i="87"/>
  <c r="C408" i="87"/>
  <c r="C409" i="87"/>
  <c r="C410" i="87"/>
  <c r="C411" i="87"/>
  <c r="C412" i="87"/>
  <c r="C413" i="87"/>
  <c r="C414" i="87"/>
  <c r="C415" i="87"/>
  <c r="C416" i="87"/>
  <c r="C417" i="87"/>
  <c r="C418" i="87"/>
  <c r="C419" i="87"/>
  <c r="C420" i="87"/>
  <c r="C421" i="87"/>
  <c r="C422" i="87"/>
  <c r="C423" i="87"/>
  <c r="C424" i="87"/>
  <c r="C425" i="87"/>
  <c r="C426" i="87"/>
  <c r="C427" i="87"/>
  <c r="C428" i="87"/>
  <c r="C429" i="87"/>
  <c r="C430" i="87"/>
  <c r="C431" i="87"/>
  <c r="C432" i="87"/>
  <c r="C433" i="87"/>
  <c r="C434" i="87"/>
  <c r="C435" i="87"/>
  <c r="C436" i="87"/>
  <c r="C437" i="87"/>
  <c r="C438" i="87"/>
  <c r="C439" i="87"/>
  <c r="C440" i="87"/>
  <c r="C441" i="87"/>
  <c r="C442" i="87"/>
  <c r="C443" i="87"/>
  <c r="C444" i="87"/>
  <c r="C445" i="87"/>
  <c r="C446" i="87"/>
  <c r="C447" i="87"/>
  <c r="C448" i="87"/>
  <c r="C449" i="87"/>
  <c r="C450" i="87"/>
  <c r="C451" i="87"/>
  <c r="C452" i="87"/>
  <c r="C453" i="87"/>
  <c r="C454" i="87"/>
  <c r="C455" i="87"/>
  <c r="C456" i="87"/>
  <c r="C457" i="87"/>
  <c r="C458" i="87"/>
  <c r="C459" i="87"/>
  <c r="C460" i="87"/>
  <c r="C461" i="87"/>
  <c r="C462" i="87"/>
  <c r="C463" i="87"/>
  <c r="C464" i="87"/>
  <c r="C465" i="87"/>
  <c r="C466" i="87"/>
  <c r="C467" i="87"/>
  <c r="C468" i="87"/>
  <c r="C469" i="87"/>
  <c r="C470" i="87"/>
  <c r="C471" i="87"/>
  <c r="C472" i="87"/>
  <c r="C473" i="87"/>
  <c r="C474" i="87"/>
  <c r="C475" i="87"/>
  <c r="C476" i="87"/>
  <c r="C477" i="87"/>
  <c r="C478" i="87"/>
  <c r="C479" i="87"/>
  <c r="C480" i="87"/>
  <c r="C481" i="87"/>
  <c r="C482" i="87"/>
  <c r="C483" i="87"/>
  <c r="C484" i="87"/>
  <c r="C485" i="87"/>
  <c r="C486" i="87"/>
  <c r="C487" i="87"/>
  <c r="C488" i="87"/>
  <c r="C489" i="87"/>
  <c r="C490" i="87"/>
  <c r="C491" i="87"/>
  <c r="C492" i="87"/>
  <c r="C493" i="87"/>
  <c r="C494" i="87"/>
  <c r="C495" i="87"/>
  <c r="C496" i="87"/>
  <c r="C497" i="87"/>
  <c r="C498" i="87"/>
  <c r="C499" i="87"/>
  <c r="C500" i="87"/>
  <c r="C501" i="87"/>
  <c r="C502" i="87"/>
  <c r="C503" i="87"/>
  <c r="C504" i="87"/>
  <c r="C505" i="87"/>
  <c r="C506" i="87"/>
  <c r="C507" i="87"/>
  <c r="C508" i="87"/>
  <c r="C509" i="87"/>
  <c r="C510" i="87"/>
  <c r="C511" i="87"/>
  <c r="C512" i="87"/>
  <c r="C513" i="87"/>
  <c r="C514" i="87"/>
  <c r="C515" i="87"/>
  <c r="C516" i="87"/>
  <c r="C517" i="87"/>
  <c r="C518" i="87"/>
  <c r="C519" i="87"/>
  <c r="C520" i="87"/>
  <c r="C521" i="87"/>
  <c r="C522" i="87"/>
  <c r="C523" i="87"/>
  <c r="C524" i="87"/>
  <c r="C525" i="87"/>
  <c r="C526" i="87"/>
  <c r="C527" i="87"/>
  <c r="C528" i="87"/>
  <c r="C529" i="87"/>
  <c r="C530" i="87"/>
  <c r="C531" i="87"/>
  <c r="C532" i="87"/>
  <c r="C533" i="87"/>
  <c r="C534" i="87"/>
  <c r="C535" i="87"/>
  <c r="C536" i="87"/>
  <c r="C537" i="87"/>
  <c r="C538" i="87"/>
  <c r="C539" i="87"/>
  <c r="C540" i="87"/>
  <c r="C541" i="87"/>
  <c r="C542" i="87"/>
  <c r="C543" i="87"/>
  <c r="C544" i="87"/>
  <c r="C545" i="87"/>
  <c r="C546" i="87"/>
  <c r="C547" i="87"/>
  <c r="C548" i="87"/>
  <c r="C549" i="87"/>
  <c r="C550" i="87"/>
  <c r="C551" i="87"/>
  <c r="C552" i="87"/>
  <c r="C553" i="87"/>
  <c r="C554" i="87"/>
  <c r="C555" i="87"/>
  <c r="C556" i="87"/>
  <c r="C557" i="87"/>
  <c r="C558" i="87"/>
  <c r="C559" i="87"/>
  <c r="C560" i="87"/>
  <c r="C561" i="87"/>
  <c r="C562" i="87"/>
  <c r="C563" i="87"/>
  <c r="C564" i="87"/>
  <c r="C565" i="87"/>
  <c r="C566" i="87"/>
  <c r="C567" i="87"/>
  <c r="C568" i="87"/>
  <c r="C569" i="87"/>
  <c r="C570" i="87"/>
  <c r="C571" i="87"/>
  <c r="C572" i="87"/>
  <c r="C573" i="87"/>
  <c r="C574" i="87"/>
  <c r="C575" i="87"/>
  <c r="C576" i="87"/>
  <c r="C577" i="87"/>
  <c r="C578" i="87"/>
  <c r="C579" i="87"/>
  <c r="C580" i="87"/>
  <c r="C581" i="87"/>
  <c r="C582" i="87"/>
  <c r="C583" i="87"/>
  <c r="C584" i="87"/>
  <c r="C585" i="87"/>
  <c r="C586" i="87"/>
  <c r="C587" i="87"/>
  <c r="C588" i="87"/>
  <c r="C589" i="87"/>
  <c r="C590" i="87"/>
  <c r="C591" i="87"/>
  <c r="C592" i="87"/>
  <c r="C593" i="87"/>
  <c r="C594" i="87"/>
  <c r="C595" i="87"/>
  <c r="C596" i="87"/>
  <c r="C597" i="87"/>
  <c r="C598" i="87"/>
  <c r="C599" i="87"/>
  <c r="C600" i="87"/>
  <c r="C601" i="87"/>
  <c r="C602" i="87"/>
  <c r="C603" i="87"/>
  <c r="C604" i="87"/>
  <c r="C605" i="87"/>
  <c r="C606" i="87"/>
  <c r="C607" i="87"/>
  <c r="C608" i="87"/>
  <c r="C609" i="87"/>
  <c r="C610" i="87"/>
  <c r="C611" i="87"/>
  <c r="C612" i="87"/>
  <c r="C613" i="87"/>
  <c r="C614" i="87"/>
  <c r="C615" i="87"/>
  <c r="C616" i="87"/>
  <c r="C617" i="87"/>
  <c r="C618" i="87"/>
  <c r="C619" i="87"/>
  <c r="C620" i="87"/>
  <c r="C621" i="87"/>
  <c r="C622" i="87"/>
  <c r="C623" i="87"/>
  <c r="C624" i="87"/>
  <c r="C625" i="87"/>
  <c r="C626" i="87"/>
  <c r="C627" i="87"/>
  <c r="C628" i="87"/>
  <c r="C629" i="87"/>
  <c r="C630" i="87"/>
  <c r="C631" i="87"/>
  <c r="C632" i="87"/>
  <c r="C633" i="87"/>
  <c r="C634" i="87"/>
  <c r="C635" i="87"/>
  <c r="C636" i="87"/>
  <c r="C637" i="87"/>
  <c r="C638" i="87"/>
  <c r="C639" i="87"/>
  <c r="C640" i="87"/>
  <c r="C641" i="87"/>
  <c r="C642" i="87"/>
  <c r="C643" i="87"/>
  <c r="C644" i="87"/>
  <c r="C645" i="87"/>
  <c r="C646" i="87"/>
  <c r="C647" i="87"/>
  <c r="C648" i="87"/>
  <c r="C649" i="87"/>
  <c r="C650" i="87"/>
  <c r="C651" i="87"/>
  <c r="C652" i="87"/>
  <c r="C653" i="87"/>
  <c r="C654" i="87"/>
  <c r="C655" i="87"/>
  <c r="C656" i="87"/>
  <c r="C657" i="87"/>
  <c r="C658" i="87"/>
  <c r="C659" i="87"/>
  <c r="C660" i="87"/>
  <c r="C661" i="87"/>
  <c r="C662" i="87"/>
  <c r="C663" i="87"/>
  <c r="C664" i="87"/>
  <c r="C665" i="87"/>
  <c r="C666" i="87"/>
  <c r="C667" i="87"/>
  <c r="C668" i="87"/>
  <c r="C669" i="87"/>
  <c r="C670" i="87"/>
  <c r="C671" i="87"/>
  <c r="C672" i="87"/>
  <c r="C673" i="87"/>
  <c r="C674" i="87"/>
  <c r="C675" i="87"/>
  <c r="C676" i="87"/>
  <c r="C677" i="87"/>
  <c r="C678" i="87"/>
  <c r="C679" i="87"/>
  <c r="C680" i="87"/>
  <c r="C681" i="87"/>
  <c r="C682" i="87"/>
  <c r="C683" i="87"/>
  <c r="C684" i="87"/>
  <c r="C685" i="87"/>
  <c r="C686" i="87"/>
  <c r="C687" i="87"/>
  <c r="C688" i="87"/>
  <c r="C689" i="87"/>
  <c r="C690" i="87"/>
  <c r="C691" i="87"/>
  <c r="C692" i="87"/>
  <c r="C693" i="87"/>
  <c r="C694" i="87"/>
  <c r="C695" i="87"/>
  <c r="C696" i="87"/>
  <c r="C697" i="87"/>
  <c r="C698" i="87"/>
  <c r="C699" i="87"/>
  <c r="C700" i="87"/>
  <c r="C701" i="87"/>
  <c r="C702" i="87"/>
  <c r="C703" i="87"/>
  <c r="C704" i="87"/>
  <c r="C705" i="87"/>
  <c r="C706" i="87"/>
  <c r="C707" i="87"/>
  <c r="C708" i="87"/>
  <c r="C709" i="87"/>
  <c r="C710" i="87"/>
  <c r="C711" i="87"/>
  <c r="C712" i="87"/>
  <c r="C713" i="87"/>
  <c r="C714" i="87"/>
  <c r="C715" i="87"/>
  <c r="C716" i="87"/>
  <c r="C717" i="87"/>
  <c r="C718" i="87"/>
  <c r="C719" i="87"/>
  <c r="C720" i="87"/>
  <c r="C721" i="87"/>
  <c r="C722" i="87"/>
  <c r="C723" i="87"/>
  <c r="C724" i="87"/>
  <c r="C725" i="87"/>
  <c r="C726" i="87"/>
  <c r="C727" i="87"/>
  <c r="C728" i="87"/>
  <c r="C729" i="87"/>
  <c r="C730" i="87"/>
  <c r="C731" i="87"/>
  <c r="C732" i="87"/>
  <c r="C733" i="87"/>
  <c r="C734" i="87"/>
  <c r="C735" i="87"/>
  <c r="C736" i="87"/>
  <c r="C737" i="87"/>
  <c r="C738" i="87"/>
  <c r="C739" i="87"/>
  <c r="C740" i="87"/>
  <c r="C741" i="87"/>
  <c r="C742" i="87"/>
  <c r="C743" i="87"/>
  <c r="C744" i="87"/>
  <c r="C745" i="87"/>
  <c r="C746" i="87"/>
  <c r="C747" i="87"/>
  <c r="C748" i="87"/>
  <c r="C749" i="87"/>
  <c r="C750" i="87"/>
  <c r="C751" i="87"/>
  <c r="C752" i="87"/>
  <c r="C753" i="87"/>
  <c r="C754" i="87"/>
  <c r="C755" i="87"/>
  <c r="C756" i="87"/>
  <c r="C757" i="87"/>
  <c r="C758" i="87"/>
  <c r="C759" i="87"/>
  <c r="C760" i="87"/>
  <c r="C761" i="87"/>
  <c r="C762" i="87"/>
  <c r="C763" i="87"/>
  <c r="C764" i="87"/>
  <c r="C765" i="87"/>
  <c r="C766" i="87"/>
  <c r="C767" i="87"/>
  <c r="C768" i="87"/>
  <c r="C769" i="87"/>
  <c r="C770" i="87"/>
  <c r="C771" i="87"/>
  <c r="C772" i="87"/>
  <c r="C773" i="87"/>
  <c r="C774" i="87"/>
  <c r="C775" i="87"/>
  <c r="C776" i="87"/>
  <c r="C777" i="87"/>
  <c r="C778" i="87"/>
  <c r="C779" i="87"/>
  <c r="C780" i="87"/>
  <c r="C781" i="87"/>
  <c r="C782" i="87"/>
  <c r="C783" i="87"/>
  <c r="C784" i="87"/>
  <c r="C785" i="87"/>
  <c r="C786" i="87"/>
  <c r="C787" i="87"/>
  <c r="C788" i="87"/>
  <c r="C789" i="87"/>
  <c r="C790" i="87"/>
  <c r="C791" i="87"/>
  <c r="C792" i="87"/>
  <c r="C793" i="87"/>
  <c r="C794" i="87"/>
  <c r="C795" i="87"/>
  <c r="C796" i="87"/>
  <c r="C797" i="87"/>
  <c r="C798" i="87"/>
  <c r="C799" i="87"/>
  <c r="C800" i="87"/>
  <c r="C801" i="87"/>
  <c r="C802" i="87"/>
  <c r="C803" i="87"/>
  <c r="C804" i="87"/>
  <c r="C805" i="87"/>
  <c r="C806" i="87"/>
  <c r="C807" i="87"/>
  <c r="C808" i="87"/>
  <c r="C809" i="87"/>
  <c r="C810" i="87"/>
  <c r="C811" i="87"/>
  <c r="C812" i="87"/>
  <c r="C813" i="87"/>
  <c r="C814" i="87"/>
  <c r="C266" i="87"/>
  <c r="C59" i="87"/>
  <c r="C58" i="87"/>
  <c r="C57" i="87"/>
  <c r="C56" i="87"/>
  <c r="C55" i="87"/>
  <c r="C54" i="87"/>
  <c r="C53" i="87"/>
  <c r="C52" i="87"/>
  <c r="C51" i="87"/>
  <c r="C50" i="87"/>
  <c r="C49" i="87"/>
  <c r="C48" i="87"/>
  <c r="C47" i="87"/>
  <c r="C46" i="87"/>
  <c r="C45" i="87"/>
  <c r="C44" i="87"/>
  <c r="C43" i="87"/>
  <c r="C42" i="87"/>
  <c r="C41" i="87"/>
  <c r="C40" i="87"/>
  <c r="C39" i="87"/>
  <c r="C38" i="87"/>
  <c r="C37" i="87"/>
  <c r="C36" i="87"/>
  <c r="C35" i="87"/>
  <c r="C34" i="87"/>
  <c r="C33" i="87"/>
  <c r="C32" i="87"/>
  <c r="C31" i="87"/>
  <c r="C30" i="87"/>
  <c r="C29" i="87"/>
  <c r="C27" i="87"/>
  <c r="A1" i="99"/>
  <c r="C28" i="87"/>
  <c r="C26" i="87"/>
  <c r="C5" i="99" l="1"/>
  <c r="C262" i="87"/>
  <c r="C261" i="87"/>
  <c r="C260" i="87"/>
  <c r="C259" i="87"/>
  <c r="C255" i="87"/>
  <c r="C254" i="87"/>
  <c r="C253" i="87"/>
  <c r="C249" i="87"/>
  <c r="C248" i="87"/>
  <c r="C247" i="87"/>
  <c r="C246" i="87"/>
  <c r="C245" i="87"/>
  <c r="C244" i="87"/>
  <c r="C243" i="87"/>
  <c r="C242" i="87"/>
  <c r="C241" i="87"/>
  <c r="C240" i="87"/>
  <c r="C239" i="87"/>
  <c r="C238" i="87"/>
  <c r="C237" i="87"/>
  <c r="C236" i="87"/>
  <c r="C235" i="87"/>
  <c r="C234" i="87"/>
  <c r="C233" i="87"/>
  <c r="C232" i="87"/>
  <c r="C228" i="87"/>
  <c r="C227" i="87"/>
  <c r="C226" i="87"/>
  <c r="C225" i="87"/>
  <c r="C224" i="87"/>
  <c r="C223" i="87"/>
  <c r="C222" i="87"/>
  <c r="C221" i="87"/>
  <c r="C220" i="87"/>
  <c r="C219" i="87"/>
  <c r="C218" i="87"/>
  <c r="C217" i="87"/>
  <c r="C216" i="87"/>
  <c r="C212" i="87"/>
  <c r="C211" i="87"/>
  <c r="C207" i="87"/>
  <c r="C206" i="87"/>
  <c r="C202" i="87"/>
  <c r="C201" i="87"/>
  <c r="C200" i="87"/>
  <c r="C199" i="87"/>
  <c r="C195" i="87"/>
  <c r="C194" i="87"/>
  <c r="C190" i="87"/>
  <c r="C189" i="87"/>
  <c r="C188" i="87"/>
  <c r="C187" i="87"/>
  <c r="C186" i="87"/>
  <c r="C185" i="87"/>
  <c r="C181" i="87"/>
  <c r="C180" i="87"/>
  <c r="C179" i="87"/>
  <c r="C178" i="87"/>
  <c r="C177" i="87"/>
  <c r="C176" i="87"/>
  <c r="C175" i="87"/>
  <c r="C174" i="87"/>
  <c r="C173" i="87"/>
  <c r="C172" i="87"/>
  <c r="C171" i="87"/>
  <c r="C170" i="87"/>
  <c r="C169" i="87"/>
  <c r="C168" i="87"/>
  <c r="C164" i="87"/>
  <c r="C163" i="87"/>
  <c r="C162" i="87"/>
  <c r="C161" i="87"/>
  <c r="C160" i="87"/>
  <c r="C159" i="87"/>
  <c r="C158" i="87"/>
  <c r="C157" i="87"/>
  <c r="C156" i="87"/>
  <c r="C155" i="87"/>
  <c r="C154" i="87"/>
  <c r="C153" i="87"/>
  <c r="C152" i="87"/>
  <c r="C151" i="87"/>
  <c r="C150" i="87"/>
  <c r="C149" i="87"/>
  <c r="C143" i="87"/>
  <c r="C145" i="87"/>
  <c r="C144" i="87"/>
  <c r="C139" i="87"/>
  <c r="C138" i="87"/>
  <c r="C137" i="87"/>
  <c r="C136" i="87"/>
  <c r="C135" i="87"/>
  <c r="C134" i="87"/>
  <c r="C133" i="87"/>
  <c r="C132" i="87"/>
  <c r="C131" i="87"/>
  <c r="C130" i="87"/>
  <c r="C129" i="87"/>
  <c r="C128" i="87"/>
  <c r="C127" i="87"/>
  <c r="C126" i="87"/>
  <c r="C125" i="87"/>
  <c r="C121" i="87"/>
  <c r="C120" i="87"/>
  <c r="C119" i="87"/>
  <c r="C118" i="87"/>
  <c r="C117" i="87"/>
  <c r="C116" i="87"/>
  <c r="C115" i="87"/>
  <c r="C114" i="87"/>
  <c r="C113" i="87"/>
  <c r="C112" i="87"/>
  <c r="C111" i="87"/>
  <c r="C110" i="87"/>
  <c r="C109" i="87"/>
  <c r="C108" i="87"/>
  <c r="C107" i="87"/>
  <c r="C106" i="87"/>
  <c r="C105" i="87"/>
  <c r="C104" i="87"/>
  <c r="C103" i="87"/>
  <c r="C102" i="87"/>
  <c r="C101" i="87"/>
  <c r="C100" i="87"/>
  <c r="C99" i="87"/>
  <c r="C98" i="87"/>
  <c r="C97" i="87"/>
  <c r="C96" i="87"/>
  <c r="C95" i="87"/>
  <c r="C94" i="87"/>
  <c r="C90" i="87"/>
  <c r="C89" i="87"/>
  <c r="C88" i="87"/>
  <c r="C87" i="87"/>
  <c r="C86" i="87"/>
  <c r="C85" i="87"/>
  <c r="C84" i="87"/>
  <c r="C83" i="87"/>
  <c r="C82" i="87"/>
  <c r="C81" i="87"/>
  <c r="C80" i="87"/>
  <c r="C25" i="87"/>
  <c r="C24" i="87"/>
  <c r="C20" i="87"/>
  <c r="C19" i="87"/>
  <c r="C18" i="87"/>
  <c r="C17" i="87"/>
  <c r="C16" i="87"/>
  <c r="C15" i="87"/>
  <c r="C11" i="87"/>
  <c r="C10" i="87"/>
  <c r="C9" i="87"/>
  <c r="A1" i="88"/>
  <c r="C5" i="88" l="1"/>
  <c r="C4" i="87" l="1"/>
  <c r="C5" i="87"/>
  <c r="C3" i="8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51" authorId="0" shapeId="0" xr:uid="{00000000-0006-0000-0500-000001000000}">
      <text>
        <r>
          <rPr>
            <sz val="11"/>
            <color theme="1"/>
            <rFont val="Calibri"/>
            <family val="2"/>
            <scheme val="minor"/>
          </rPr>
          <t>======
ID#AAABS9yaMJ4
tc={106B07E1-88C7-436B-97DE-0039C48BAC1C}    (2024-08-03 16:50:55)
[Threaded comment]
Your version of Excel allows you to read this threaded comment; however, any edits to it will get removed if the file is opened in a newer version of Excel. Learn more: https://go.microsoft.com/fwlink/?linkid=870924
Comment:
    Lembaga Keuangan Khusus (diganti menjadi "LJK Lainnya" untuk menampung lembaga jasa keuangan lain yang dinyatakan diawasi oleh Otoritas Jasa Keuangan berdasarkan ketentuan peraturan perundang-undangan/ sui generis)</t>
        </r>
      </text>
    </comment>
  </commentList>
</comments>
</file>

<file path=xl/sharedStrings.xml><?xml version="1.0" encoding="utf-8"?>
<sst xmlns="http://schemas.openxmlformats.org/spreadsheetml/2006/main" count="2068" uniqueCount="1599">
  <si>
    <t>Jenis Laporan</t>
  </si>
  <si>
    <t>Rutin</t>
  </si>
  <si>
    <t>Koreksi</t>
  </si>
  <si>
    <t>Update</t>
  </si>
  <si>
    <t>Kode Laporan</t>
  </si>
  <si>
    <t>SAFTS</t>
  </si>
  <si>
    <t>SAFTA</t>
  </si>
  <si>
    <t>SAFTI3</t>
  </si>
  <si>
    <t>SAFTI6</t>
  </si>
  <si>
    <t>Kode Y/T</t>
  </si>
  <si>
    <t>Y (Yes)</t>
  </si>
  <si>
    <t>N (No)</t>
  </si>
  <si>
    <t>No</t>
  </si>
  <si>
    <t>Periode Laporan</t>
  </si>
  <si>
    <t>Nama Laporan</t>
  </si>
  <si>
    <t>Waktu Penyampaian</t>
  </si>
  <si>
    <t>Nama Form</t>
  </si>
  <si>
    <t>Kode Form</t>
  </si>
  <si>
    <t>Input Laporan</t>
  </si>
  <si>
    <t>Semesteran</t>
  </si>
  <si>
    <t>Laporan Penerapan Strategi Anti Fraud (Berkala Semesteran)</t>
  </si>
  <si>
    <t>Paling Lambat 31 Juli dan 31 Januari</t>
  </si>
  <si>
    <t>Perkembangan Pelaksanaan Penerapan Strategi Anti Fraud</t>
  </si>
  <si>
    <t>00A</t>
  </si>
  <si>
    <t>PDF</t>
  </si>
  <si>
    <t>Laporan Penerapan SAF yang mencakup informasi kejadian fraud dan informasi pelaku fraud</t>
  </si>
  <si>
    <t>01A</t>
  </si>
  <si>
    <t>TXT</t>
  </si>
  <si>
    <t>Deskripsi Fraud / Modus Operandi</t>
  </si>
  <si>
    <t>02A</t>
  </si>
  <si>
    <t>Tahunan</t>
  </si>
  <si>
    <t>Laporan Penerapan Strategi Anti Fraud (Berkala Tahunan)</t>
  </si>
  <si>
    <t>Paling Lambat 31 Januari</t>
  </si>
  <si>
    <t>Insidental 3 Hari Kerja</t>
  </si>
  <si>
    <t>Laporan Fraud Berdampak Signifikan (Insidental 3 Hari Kerja)</t>
  </si>
  <si>
    <t>Dapat disampaikan kapanpun</t>
  </si>
  <si>
    <t>Laporan Penerapan SAF berdampak signifikan yang mencakup informasi kejadian fraud dan informasi pelaku fraud berdampak signifikan</t>
  </si>
  <si>
    <t>01B</t>
  </si>
  <si>
    <t>02B</t>
  </si>
  <si>
    <t>Insidental 6 Hari Kerja</t>
  </si>
  <si>
    <t>Laporan Fraud Berdampak Signifikan (Insidental 6 Hari Kerja)</t>
  </si>
  <si>
    <t>Penyampaian Laporan</t>
  </si>
  <si>
    <t>Kode Sektor</t>
  </si>
  <si>
    <t>Petunjuk Penggunaan :</t>
  </si>
  <si>
    <r>
      <t>1. Aktifkan macro terlebih dahulu dengan cara klik tombol "</t>
    </r>
    <r>
      <rPr>
        <b/>
        <sz val="12"/>
        <color theme="1"/>
        <rFont val="Calibri"/>
        <family val="2"/>
        <scheme val="minor"/>
      </rPr>
      <t>Enable Content</t>
    </r>
    <r>
      <rPr>
        <sz val="12"/>
        <color theme="1"/>
        <rFont val="Calibri"/>
        <family val="2"/>
        <scheme val="minor"/>
      </rPr>
      <t>" jika muncul security warning.</t>
    </r>
  </si>
  <si>
    <t xml:space="preserve"> </t>
  </si>
  <si>
    <r>
      <t>3. Isi kolom "</t>
    </r>
    <r>
      <rPr>
        <b/>
        <sz val="12"/>
        <color theme="1"/>
        <rFont val="Calibri"/>
        <family val="2"/>
        <scheme val="minor"/>
      </rPr>
      <t>Periode Pelaporan</t>
    </r>
    <r>
      <rPr>
        <sz val="12"/>
        <color theme="1"/>
        <rFont val="Calibri"/>
        <family val="2"/>
        <scheme val="minor"/>
      </rPr>
      <t>" pada cell B2.</t>
    </r>
  </si>
  <si>
    <r>
      <t>4. Isi kolom "</t>
    </r>
    <r>
      <rPr>
        <b/>
        <sz val="12"/>
        <color theme="1"/>
        <rFont val="Calibri"/>
        <family val="2"/>
        <scheme val="minor"/>
      </rPr>
      <t>Kode Laporan</t>
    </r>
    <r>
      <rPr>
        <sz val="12"/>
        <color theme="1"/>
        <rFont val="Calibri"/>
        <family val="2"/>
        <scheme val="minor"/>
      </rPr>
      <t>" pada cell C2.</t>
    </r>
  </si>
  <si>
    <r>
      <t>5. Pilih jenis "</t>
    </r>
    <r>
      <rPr>
        <b/>
        <sz val="12"/>
        <color theme="1"/>
        <rFont val="Calibri"/>
        <family val="2"/>
        <scheme val="minor"/>
      </rPr>
      <t>Penyampaian Laporan</t>
    </r>
    <r>
      <rPr>
        <sz val="12"/>
        <color theme="1"/>
        <rFont val="Calibri"/>
        <family val="2"/>
        <scheme val="minor"/>
      </rPr>
      <t>" pada cell D2 (Rutin / Koreksi).</t>
    </r>
  </si>
  <si>
    <r>
      <t>6. Isi kolom "</t>
    </r>
    <r>
      <rPr>
        <b/>
        <sz val="12"/>
        <color theme="1"/>
        <rFont val="Calibri"/>
        <family val="2"/>
        <scheme val="minor"/>
      </rPr>
      <t>Nomor Surat</t>
    </r>
    <r>
      <rPr>
        <sz val="12"/>
        <color theme="1"/>
        <rFont val="Calibri"/>
        <family val="2"/>
        <scheme val="minor"/>
      </rPr>
      <t>" pada cell E2 jika memilih jenis penyampaian "</t>
    </r>
    <r>
      <rPr>
        <b/>
        <sz val="12"/>
        <color theme="1"/>
        <rFont val="Calibri"/>
        <family val="2"/>
        <scheme val="minor"/>
      </rPr>
      <t>Koreksi"</t>
    </r>
    <r>
      <rPr>
        <sz val="12"/>
        <color theme="1"/>
        <rFont val="Calibri"/>
        <family val="2"/>
        <scheme val="minor"/>
      </rPr>
      <t>.</t>
    </r>
  </si>
  <si>
    <r>
      <t>7. Klik tombol "</t>
    </r>
    <r>
      <rPr>
        <b/>
        <sz val="12"/>
        <color theme="1"/>
        <rFont val="Calibri"/>
        <family val="2"/>
        <scheme val="minor"/>
      </rPr>
      <t>Set Lokasi Penyimpanan File</t>
    </r>
    <r>
      <rPr>
        <sz val="12"/>
        <color theme="1"/>
        <rFont val="Calibri"/>
        <family val="2"/>
        <scheme val="minor"/>
      </rPr>
      <t>",   kemudian pilih direktori untuk penyimpanan file teks.</t>
    </r>
  </si>
  <si>
    <r>
      <t>10. Klik tombol "</t>
    </r>
    <r>
      <rPr>
        <b/>
        <sz val="12"/>
        <color theme="1"/>
        <rFont val="Calibri"/>
        <family val="2"/>
        <scheme val="minor"/>
      </rPr>
      <t>Generate File Teks</t>
    </r>
    <r>
      <rPr>
        <sz val="12"/>
        <color theme="1"/>
        <rFont val="Calibri"/>
        <family val="2"/>
        <scheme val="minor"/>
      </rPr>
      <t>" untuk proses pembuatan file Teks.</t>
    </r>
  </si>
  <si>
    <t>Catatan:</t>
  </si>
  <si>
    <r>
      <t xml:space="preserve">1. Pastikan format simbol desimal menggunakan karakter </t>
    </r>
    <r>
      <rPr>
        <b/>
        <sz val="12"/>
        <color theme="1"/>
        <rFont val="Calibri"/>
        <family val="2"/>
        <scheme val="minor"/>
      </rPr>
      <t>. (titik)</t>
    </r>
  </si>
  <si>
    <r>
      <t xml:space="preserve">    (dapat diubah melalui Control Panel </t>
    </r>
    <r>
      <rPr>
        <sz val="12"/>
        <color theme="1"/>
        <rFont val="Calibri"/>
        <family val="2"/>
      </rPr>
      <t>→ Regional Setting)</t>
    </r>
  </si>
  <si>
    <t xml:space="preserve">    Pelaporan → Absensi → Monitoring Absensi -&gt; Klik Tombol Deklarasi Laporan Insidentil</t>
  </si>
  <si>
    <r>
      <t xml:space="preserve">3. Form dengan format </t>
    </r>
    <r>
      <rPr>
        <b/>
        <sz val="11"/>
        <color theme="1"/>
        <rFont val="Calibri"/>
        <family val="2"/>
        <scheme val="minor"/>
      </rPr>
      <t>PDF</t>
    </r>
    <r>
      <rPr>
        <sz val="11"/>
        <color theme="1"/>
        <rFont val="Calibri"/>
        <family val="2"/>
        <scheme val="minor"/>
      </rPr>
      <t xml:space="preserve"> dibuat secara mandiri dengan mengacu pada aturan penamaan file</t>
    </r>
  </si>
  <si>
    <t>Pernyataan :</t>
  </si>
  <si>
    <t>Kode Komponen</t>
  </si>
  <si>
    <t>Kejadian Fraud Menurut Pelaku</t>
  </si>
  <si>
    <t>ID Kejadian Fraud</t>
  </si>
  <si>
    <t>Jenis Fraud</t>
  </si>
  <si>
    <t>Lokasi Fraud</t>
  </si>
  <si>
    <t>Divisi atau Unit Kerja dan/atau Lini Bisnis Terjadinya Fraud</t>
  </si>
  <si>
    <t>Pihak Yang Dirugikan</t>
  </si>
  <si>
    <t>Waktu</t>
  </si>
  <si>
    <t>Jumlah Kerugian</t>
  </si>
  <si>
    <t>Kelemahan Penyebab Fraud</t>
  </si>
  <si>
    <t>Tindakan untuk Penanganan Fraud</t>
  </si>
  <si>
    <t>Tindakan Perbaikan untuk Pencegahan Fraud</t>
  </si>
  <si>
    <t>Pelaku Fraud</t>
  </si>
  <si>
    <t>Status</t>
  </si>
  <si>
    <t>Keterangan Jenis Fraud</t>
  </si>
  <si>
    <t>Keterangan Lokasi Fraud</t>
  </si>
  <si>
    <t>Waktu Terjadi</t>
  </si>
  <si>
    <t>Fraud Diketahui</t>
  </si>
  <si>
    <t>LJK</t>
  </si>
  <si>
    <t>Konsumen</t>
  </si>
  <si>
    <t>Pihak Lain</t>
  </si>
  <si>
    <t>Keterangan</t>
  </si>
  <si>
    <t>Target Waktu Pelaksanaan</t>
  </si>
  <si>
    <t>Realisasi Pelaksanaan</t>
  </si>
  <si>
    <t>Identitas Pelaku</t>
  </si>
  <si>
    <t>Status Pelaku</t>
  </si>
  <si>
    <t>Jabatan Pelaku</t>
  </si>
  <si>
    <t>Keterangan Pelaku</t>
  </si>
  <si>
    <t>Pengenaan Sanksi</t>
  </si>
  <si>
    <t>Awal</t>
  </si>
  <si>
    <t>Akhir</t>
  </si>
  <si>
    <t>Riil (incurred)</t>
  </si>
  <si>
    <t>Potensial (Potential)</t>
  </si>
  <si>
    <t>Setelah Pengembalian (Recovery)</t>
  </si>
  <si>
    <t>Nama</t>
  </si>
  <si>
    <t>Jenis Identitas</t>
  </si>
  <si>
    <t>Nomor Identitas</t>
  </si>
  <si>
    <t>Jenis Kelamin</t>
  </si>
  <si>
    <t>Alamat Identitas</t>
  </si>
  <si>
    <t>Tempat Lahir</t>
  </si>
  <si>
    <t>Tanggal Lahir</t>
  </si>
  <si>
    <t>Pada Saat Fraud Terjadi</t>
  </si>
  <si>
    <t>Keterangan Jabatan</t>
  </si>
  <si>
    <t>Pada Saat Fraud Diketahui</t>
  </si>
  <si>
    <t>0391</t>
  </si>
  <si>
    <t>1. Jika ingin menambah row, insert pada posisi baris terakhir.</t>
  </si>
  <si>
    <t>2. Kolom Kode Komponen wajib diisi sesuai struktur data.</t>
  </si>
  <si>
    <t>3. Format pengisian harap mengacu pada aturan struktur data.</t>
  </si>
  <si>
    <t>Jumlah Kerugian Potensial</t>
  </si>
  <si>
    <t>Tindak Lanjut LJK</t>
  </si>
  <si>
    <t>0191</t>
  </si>
  <si>
    <t xml:space="preserve">Kejadian Fraud Menurut Pelaku </t>
  </si>
  <si>
    <t>Code</t>
  </si>
  <si>
    <t>Deskripsi</t>
  </si>
  <si>
    <t>Display List</t>
  </si>
  <si>
    <t>A</t>
  </si>
  <si>
    <t>internal</t>
  </si>
  <si>
    <t>B</t>
  </si>
  <si>
    <t>eksternal</t>
  </si>
  <si>
    <t>C</t>
  </si>
  <si>
    <t>internal dan eksternal</t>
  </si>
  <si>
    <t>Kejadian Fraud Menurut Pelaku (Berdampak Signifikan)</t>
  </si>
  <si>
    <t>AS</t>
  </si>
  <si>
    <t>BS</t>
  </si>
  <si>
    <t>CS</t>
  </si>
  <si>
    <t>Kejadian Fraud Menurut Pelaku Join</t>
  </si>
  <si>
    <t>internal (Berdampak Signifikan)</t>
  </si>
  <si>
    <t>eksternal (Berdampak Signifikan)</t>
  </si>
  <si>
    <t>internal dan eksternal (Berdampak Signifikan)</t>
  </si>
  <si>
    <t>010101</t>
  </si>
  <si>
    <t>Bank Umum Konvensional</t>
  </si>
  <si>
    <t>010102</t>
  </si>
  <si>
    <t>Bank Umum Syariah</t>
  </si>
  <si>
    <t>031301</t>
  </si>
  <si>
    <t>Dana Pensiun Pemberi Kerja Konvensional</t>
  </si>
  <si>
    <t>031303</t>
  </si>
  <si>
    <t>Dana Pensiun Pemberi Kerja Syariah</t>
  </si>
  <si>
    <t>Korupsi (Pemerasan)</t>
  </si>
  <si>
    <t>Korupsi (Benturan kepentingan…)</t>
  </si>
  <si>
    <t>Korupsi (Penyuapan)</t>
  </si>
  <si>
    <t>Korupsi (Penerimaan tidak sah)</t>
  </si>
  <si>
    <t>Penyalahgunaan aset (uang tunai)</t>
  </si>
  <si>
    <t>Penyalahgunaan aset (persediaan)</t>
  </si>
  <si>
    <t>Penyalahgunaan aset (lainnya)</t>
  </si>
  <si>
    <t>Kecurangan laporan keuangan</t>
  </si>
  <si>
    <t>Penipuan</t>
  </si>
  <si>
    <t>Pembocoran informasi rahasia</t>
  </si>
  <si>
    <t>Tindakan lain yang dapat dipersamakan dengan fraud</t>
  </si>
  <si>
    <t>Aktivitas terkait Fraud</t>
  </si>
  <si>
    <t xml:space="preserve">Pendanaan </t>
  </si>
  <si>
    <t>Perkreditan/pembiayaan</t>
  </si>
  <si>
    <t>Penggunaan identitas dan data orang, pihak lain, atau konsumen</t>
  </si>
  <si>
    <t>Pengelolaan aset /investasi</t>
  </si>
  <si>
    <t xml:space="preserve">Penggunaan siber </t>
  </si>
  <si>
    <t xml:space="preserve">Pembukuan dan penyajian laporan keuangan </t>
  </si>
  <si>
    <t>Anti pencucian uang (APU), pencegahan pendanaan terorisme (PPT) dan pencegahan pendanaan proliferasi senjata pemusnah massal (PPPSPM)</t>
  </si>
  <si>
    <t xml:space="preserve">Transaksi efek </t>
  </si>
  <si>
    <t xml:space="preserve">Pemasaran </t>
  </si>
  <si>
    <t>Kustodian</t>
  </si>
  <si>
    <t>Penjatahan efek</t>
  </si>
  <si>
    <t>Due diligence penjaminan emisi efek</t>
  </si>
  <si>
    <t>Riset investasi</t>
  </si>
  <si>
    <t xml:space="preserve">Proses underwriting </t>
  </si>
  <si>
    <t>Pengelolaan iuran/premi/kontribusi/imbalan jasa penjaminan/kafalah</t>
  </si>
  <si>
    <t>Pengurusan klaim/manfaat pensiun</t>
  </si>
  <si>
    <t>Penilaian kerugian asuransi</t>
  </si>
  <si>
    <t>Proses pemilihan asuransi/reasuransi</t>
  </si>
  <si>
    <t>Pengelolaan surplus underwriting</t>
  </si>
  <si>
    <t xml:space="preserve">Pengelolaan data kepesertaan </t>
  </si>
  <si>
    <t>Proses subrogasi</t>
  </si>
  <si>
    <t>Pemberian jasa manajemen</t>
  </si>
  <si>
    <t xml:space="preserve">Layanan pendanaan bersama berbasis teknologi informasi </t>
  </si>
  <si>
    <t>Bullion</t>
  </si>
  <si>
    <t>Sekuritisasi</t>
  </si>
  <si>
    <t>Pendukung Pasar</t>
  </si>
  <si>
    <t>Aktivitas terkait Aset Keuangan Digital, termasuk Aset Kripto</t>
  </si>
  <si>
    <t xml:space="preserve">Aktivitas lain </t>
  </si>
  <si>
    <t>01</t>
  </si>
  <si>
    <t xml:space="preserve">Kantor Pusat Operasional </t>
  </si>
  <si>
    <t>02</t>
  </si>
  <si>
    <t xml:space="preserve">Kantor Pusat Non Operasional </t>
  </si>
  <si>
    <t>03</t>
  </si>
  <si>
    <t xml:space="preserve">Kantor Cabang LJK yang berkedudukan di Luar Negeri </t>
  </si>
  <si>
    <t>04</t>
  </si>
  <si>
    <t xml:space="preserve">Kantor Wilayah </t>
  </si>
  <si>
    <t>05</t>
  </si>
  <si>
    <t xml:space="preserve">Kantor Cabang (Dalam Negeri) </t>
  </si>
  <si>
    <t>06</t>
  </si>
  <si>
    <t>Kantor cabang dari bank yang berada di Luar Negeri</t>
  </si>
  <si>
    <t>07</t>
  </si>
  <si>
    <t xml:space="preserve">Kantor Cabang Pembantu LJK yang berkedudukan di Luar Negeri </t>
  </si>
  <si>
    <t>08</t>
  </si>
  <si>
    <t xml:space="preserve">Kantor Cabang Pembantu (Dalam Negeri) </t>
  </si>
  <si>
    <t>09</t>
  </si>
  <si>
    <t xml:space="preserve">Kantor Cabang Pembantu (Luar Negeri) </t>
  </si>
  <si>
    <t xml:space="preserve">Kantor Kas </t>
  </si>
  <si>
    <t>Kantor Fungsional/ Kantor Selain Kantor Cabang/ Kantor Pemasaran Reksadana/Gerai/Unit Layanan (Outlet)</t>
  </si>
  <si>
    <t xml:space="preserve">Payment Point </t>
  </si>
  <si>
    <t xml:space="preserve">Kas Keliling/Kas Mobil/Kas Terapung </t>
  </si>
  <si>
    <t xml:space="preserve">Kantor Perwakilan LJK yang berkedudukan di Luar Negeri </t>
  </si>
  <si>
    <t xml:space="preserve">Automatic Teller Machine/Cash Deposit Machine/Cash Recycling Machine </t>
  </si>
  <si>
    <t>Pihak yang Dirugikan</t>
  </si>
  <si>
    <t>001</t>
  </si>
  <si>
    <t xml:space="preserve">LJK </t>
  </si>
  <si>
    <t>002</t>
  </si>
  <si>
    <t xml:space="preserve">Konsumen </t>
  </si>
  <si>
    <t>003</t>
  </si>
  <si>
    <t xml:space="preserve">Sumber Daya Manusia – Integritas </t>
  </si>
  <si>
    <t xml:space="preserve">Sumber Daya Manusia – Kompetensi </t>
  </si>
  <si>
    <t xml:space="preserve">Sistem Pengendalian internal – Pengendalian internal Pimpinan </t>
  </si>
  <si>
    <t xml:space="preserve">Sistem Pengendalian internal - Pada Kebijakan internal LJK </t>
  </si>
  <si>
    <t xml:space="preserve">Sistem Pengendalian internal - Ketidaksesuaian atas Tingkat dan Toleransi Risiko </t>
  </si>
  <si>
    <t xml:space="preserve">Sistem Pengendalian internal - Pelanggaran Standar dan Prosedur LJK </t>
  </si>
  <si>
    <t xml:space="preserve">Sistem Pengendalian internal - Tidak Berjalannya Pemisahan Fungsi (Four Eyes Principle) </t>
  </si>
  <si>
    <t xml:space="preserve">Sistem Pengendalian internal - Pelaporan Keuangan dan Kegiatan Operasional yang Tidak Akurat dan Tidak Tepat Waktu </t>
  </si>
  <si>
    <t xml:space="preserve">Sistem Pengendalian internal - Struktur Organisasi yang Belum Berjalan Efektif </t>
  </si>
  <si>
    <t xml:space="preserve">Teknologi Informasi </t>
  </si>
  <si>
    <t xml:space="preserve">Penerapan Strategi Anti Fraud Belum Berjalan Efektif </t>
  </si>
  <si>
    <t>Eksternal – Kelalaian Konsumen</t>
  </si>
  <si>
    <t>Eksternal – Pemahaman Konsumen menjaga Kerahasiaan Data Pribadi</t>
  </si>
  <si>
    <t xml:space="preserve">Eksternal – Kecurangan Konsumen </t>
  </si>
  <si>
    <t>Eksternal – Kecurangan Pihak Lain</t>
  </si>
  <si>
    <t xml:space="preserve">Kelemahan Lain </t>
  </si>
  <si>
    <t xml:space="preserve">Pemberian surat peringatan </t>
  </si>
  <si>
    <t xml:space="preserve">Rotasi atau mutasi </t>
  </si>
  <si>
    <t xml:space="preserve">Penurunan jabatan </t>
  </si>
  <si>
    <t>Pengunduran diri sukarela</t>
  </si>
  <si>
    <t xml:space="preserve">Pemutusan hubungan kerja </t>
  </si>
  <si>
    <t xml:space="preserve">Pemblokiran kartu debit/kartu kredit </t>
  </si>
  <si>
    <t xml:space="preserve">Pemblokiran rekening </t>
  </si>
  <si>
    <t xml:space="preserve">Penggantian kartu debit/kartu kredit </t>
  </si>
  <si>
    <t xml:space="preserve">Pelaporan kepolisian atau tindakan hukum </t>
  </si>
  <si>
    <t xml:space="preserve">Ganti rugi </t>
  </si>
  <si>
    <t>Pembatalan polis/kontrak</t>
  </si>
  <si>
    <t xml:space="preserve">Pencatatan dalam track record </t>
  </si>
  <si>
    <t>Pelaporan kepada asosiasi/regulator/instansi</t>
  </si>
  <si>
    <t xml:space="preserve">Tindakan lain </t>
  </si>
  <si>
    <t xml:space="preserve">Sumber daya manusia </t>
  </si>
  <si>
    <t>Sistem pengendalian internal</t>
  </si>
  <si>
    <t xml:space="preserve">Teknologi informasi </t>
  </si>
  <si>
    <t xml:space="preserve">Penerapan Strategi Anti Fraud </t>
  </si>
  <si>
    <t>Koordinasi dengan asosiasi/regulator/instansi</t>
  </si>
  <si>
    <t>Internal</t>
  </si>
  <si>
    <t>Eksternal</t>
  </si>
  <si>
    <t>KTP (Nomor Induk Kependudukan)</t>
  </si>
  <si>
    <t xml:space="preserve">Paspor (Nomor Paspor) </t>
  </si>
  <si>
    <t>NPWP (Nomor Pokok Wajib Pajak)</t>
  </si>
  <si>
    <t>009</t>
  </si>
  <si>
    <t xml:space="preserve">Tidak Diketahui </t>
  </si>
  <si>
    <t>Jenis kelamin</t>
  </si>
  <si>
    <t>L</t>
  </si>
  <si>
    <t>Laki-Laki</t>
  </si>
  <si>
    <t>P</t>
  </si>
  <si>
    <t>Perempuan</t>
  </si>
  <si>
    <t>Pelaku Utama</t>
  </si>
  <si>
    <t>Pihak Terlibat</t>
  </si>
  <si>
    <t>Jabatan Pelaku Saat Fraud Terjadi</t>
  </si>
  <si>
    <t>Direktur Utama/Ketua Pengurus</t>
  </si>
  <si>
    <t>Direktur / Pengurus</t>
  </si>
  <si>
    <t>Direktur Kepatuhan/Pengurus bidang Kepatuhan</t>
  </si>
  <si>
    <t>004</t>
  </si>
  <si>
    <t>Komisaris Utama/Ketua Dewan Pengawas</t>
  </si>
  <si>
    <t>005</t>
  </si>
  <si>
    <t>Komisaris/Dewan Pengawas</t>
  </si>
  <si>
    <t>006</t>
  </si>
  <si>
    <t xml:space="preserve">Dewan Pengawas Syariah </t>
  </si>
  <si>
    <t>007</t>
  </si>
  <si>
    <t>Pejabat Eksekutif</t>
  </si>
  <si>
    <t>008</t>
  </si>
  <si>
    <t>Pemegang Saham Pengendali</t>
  </si>
  <si>
    <t>Pemegang Saham</t>
  </si>
  <si>
    <t>010</t>
  </si>
  <si>
    <t>Tenaga Ahli dan Konsultan</t>
  </si>
  <si>
    <t>011</t>
  </si>
  <si>
    <t>Komisaris Independen/Dewan Pengawas Independen</t>
  </si>
  <si>
    <t>018</t>
  </si>
  <si>
    <t>Pejabat non Pejabat Eksekutif</t>
  </si>
  <si>
    <t>019</t>
  </si>
  <si>
    <t>Pegawai non Pejabat</t>
  </si>
  <si>
    <t>Jabatan Pelaku Saat Fraud Diketahui</t>
  </si>
  <si>
    <t>Direktur/Pengurus</t>
  </si>
  <si>
    <t>041</t>
  </si>
  <si>
    <t>Pensiun Karir</t>
  </si>
  <si>
    <t>042</t>
  </si>
  <si>
    <t>Pensiun Dini/Disabilitas</t>
  </si>
  <si>
    <t>043</t>
  </si>
  <si>
    <t>Diberhentikan atas keinginan sendiri</t>
  </si>
  <si>
    <t>044</t>
  </si>
  <si>
    <t>Berakhir masa kontrak/penugasan</t>
  </si>
  <si>
    <t>045</t>
  </si>
  <si>
    <t>Meninggal dunia</t>
  </si>
  <si>
    <t xml:space="preserve">Pihak yang bekerjasama dengan LJK (antara lain vendor, investor, supplier, pejabat negara, atau rekanan) </t>
  </si>
  <si>
    <t xml:space="preserve">Pihak yang tidak berhubungan langsung dengan LJK </t>
  </si>
  <si>
    <t>Proses internal LJK</t>
  </si>
  <si>
    <t>Selesai diproses internal LJK</t>
  </si>
  <si>
    <t>Dalam proses penanganan aparat penegak hukum</t>
  </si>
  <si>
    <t>Berkekuatan hukum tetap (Inkracht)</t>
  </si>
  <si>
    <t>Sandi Kabupaten/Kota</t>
  </si>
  <si>
    <t>Label</t>
  </si>
  <si>
    <t>Kode</t>
  </si>
  <si>
    <t>Provinsi Jawa Barat</t>
  </si>
  <si>
    <t>Kab. Bekasi</t>
  </si>
  <si>
    <t>0102</t>
  </si>
  <si>
    <t>Kab. Purwakarta</t>
  </si>
  <si>
    <t>0103</t>
  </si>
  <si>
    <t>Kab. Karawang</t>
  </si>
  <si>
    <t>0106</t>
  </si>
  <si>
    <t>Kab. Bogor</t>
  </si>
  <si>
    <t>0108</t>
  </si>
  <si>
    <t>Kab. Sukabumi</t>
  </si>
  <si>
    <t>0109</t>
  </si>
  <si>
    <t>Kab. Cianjur</t>
  </si>
  <si>
    <t>0110</t>
  </si>
  <si>
    <t>Kab. Bandung</t>
  </si>
  <si>
    <t>0111</t>
  </si>
  <si>
    <t>Kab. Sumedang</t>
  </si>
  <si>
    <t>0112</t>
  </si>
  <si>
    <t>Kab. Tasikmalaya</t>
  </si>
  <si>
    <t>0113</t>
  </si>
  <si>
    <t>Kab. Garut</t>
  </si>
  <si>
    <t>0114</t>
  </si>
  <si>
    <t>Kab. Ciamis</t>
  </si>
  <si>
    <t>0115</t>
  </si>
  <si>
    <t>Kab. Cirebon</t>
  </si>
  <si>
    <t>0116</t>
  </si>
  <si>
    <t>Kab. Kuningan</t>
  </si>
  <si>
    <t>0117</t>
  </si>
  <si>
    <t>Kab. Indramayu</t>
  </si>
  <si>
    <t>0118</t>
  </si>
  <si>
    <t>Kab. Majalengka</t>
  </si>
  <si>
    <t>0119</t>
  </si>
  <si>
    <t>Kab. Subang</t>
  </si>
  <si>
    <t>0121</t>
  </si>
  <si>
    <t>Kab. Bandung Barat</t>
  </si>
  <si>
    <t>0122</t>
  </si>
  <si>
    <t>Kab. Pangandaran</t>
  </si>
  <si>
    <t>0123</t>
  </si>
  <si>
    <t>Kota Banjar</t>
  </si>
  <si>
    <t>0180</t>
  </si>
  <si>
    <t>Kota Bandung</t>
  </si>
  <si>
    <t>Kota Bogor</t>
  </si>
  <si>
    <t>0192</t>
  </si>
  <si>
    <t>Kota Sukabumi</t>
  </si>
  <si>
    <t>0193</t>
  </si>
  <si>
    <t>Kota Cirebon</t>
  </si>
  <si>
    <t>0194</t>
  </si>
  <si>
    <t>Kota Tasikmalaya</t>
  </si>
  <si>
    <t>0195</t>
  </si>
  <si>
    <t>Kota Cimahi</t>
  </si>
  <si>
    <t>0196</t>
  </si>
  <si>
    <t>Kota Depok</t>
  </si>
  <si>
    <t>0197</t>
  </si>
  <si>
    <t>Kota Bekasi</t>
  </si>
  <si>
    <t>0198</t>
  </si>
  <si>
    <t>Provinsi Banten</t>
  </si>
  <si>
    <t>Kab. Lebak</t>
  </si>
  <si>
    <t>0201</t>
  </si>
  <si>
    <t>Kab. Pandeglang</t>
  </si>
  <si>
    <t>0202</t>
  </si>
  <si>
    <t>Kab. Serang</t>
  </si>
  <si>
    <t>0203</t>
  </si>
  <si>
    <t>Kab. Tangerang</t>
  </si>
  <si>
    <t>0204</t>
  </si>
  <si>
    <t>Kota Cilegon</t>
  </si>
  <si>
    <t>0291</t>
  </si>
  <si>
    <t>Kota Tangerang</t>
  </si>
  <si>
    <t>0292</t>
  </si>
  <si>
    <t>Kota Serang</t>
  </si>
  <si>
    <t>0293</t>
  </si>
  <si>
    <t>Kota Tangerang Selatan</t>
  </si>
  <si>
    <t>0294</t>
  </si>
  <si>
    <t>Provinsi DKI Jakarta</t>
  </si>
  <si>
    <t>Wil. Kota Jakarta Pusat</t>
  </si>
  <si>
    <t>Wil. Kota Jakarta Utara</t>
  </si>
  <si>
    <t>0392</t>
  </si>
  <si>
    <t>Wil. Kota Jakarta Barat</t>
  </si>
  <si>
    <t>0393</t>
  </si>
  <si>
    <t>Wil. Kota Jakarta Selatan</t>
  </si>
  <si>
    <t>0394</t>
  </si>
  <si>
    <t>Wil. Kota Jakarta Timur</t>
  </si>
  <si>
    <t>0395</t>
  </si>
  <si>
    <t>Wil. Kepulauan Seribu</t>
  </si>
  <si>
    <t>0396</t>
  </si>
  <si>
    <t>Provinsi Daerah Istimewa Yogyakarta</t>
  </si>
  <si>
    <t>Kab. Bantul</t>
  </si>
  <si>
    <t>0501</t>
  </si>
  <si>
    <t>Kab. Sleman</t>
  </si>
  <si>
    <t>0502</t>
  </si>
  <si>
    <t>Kab. Gunung Kidul</t>
  </si>
  <si>
    <t>0503</t>
  </si>
  <si>
    <t>Kab. Kulon Progo</t>
  </si>
  <si>
    <t>0504</t>
  </si>
  <si>
    <t>Kota Yogyakarta</t>
  </si>
  <si>
    <t>0591</t>
  </si>
  <si>
    <t>Provinsi Jawa Tengah</t>
  </si>
  <si>
    <t>Kab. Semarang</t>
  </si>
  <si>
    <t>0901</t>
  </si>
  <si>
    <t>Kab. Kendal</t>
  </si>
  <si>
    <t>0902</t>
  </si>
  <si>
    <t>Kab. Demak</t>
  </si>
  <si>
    <t>0903</t>
  </si>
  <si>
    <t>Kab. Grobogan</t>
  </si>
  <si>
    <t>0904</t>
  </si>
  <si>
    <t>Kab. Pekalongan</t>
  </si>
  <si>
    <t>0905</t>
  </si>
  <si>
    <t>Kab. Tegal</t>
  </si>
  <si>
    <t>0906</t>
  </si>
  <si>
    <t>Kab. Brebes</t>
  </si>
  <si>
    <t>0907</t>
  </si>
  <si>
    <t>Kab. Pati</t>
  </si>
  <si>
    <t>0908</t>
  </si>
  <si>
    <t>Kab. Kudus</t>
  </si>
  <si>
    <t>0909</t>
  </si>
  <si>
    <t>Kab. Pemalang</t>
  </si>
  <si>
    <t>0910</t>
  </si>
  <si>
    <t>Kab. Jepara</t>
  </si>
  <si>
    <t>0911</t>
  </si>
  <si>
    <t>Kab. Rembang</t>
  </si>
  <si>
    <t>0912</t>
  </si>
  <si>
    <t>Kab. Blora</t>
  </si>
  <si>
    <t>0913</t>
  </si>
  <si>
    <t>Kab. Banyumas</t>
  </si>
  <si>
    <t>0914</t>
  </si>
  <si>
    <t>Kab. Cilacap</t>
  </si>
  <si>
    <t>0915</t>
  </si>
  <si>
    <t>Kab. Purbalingga</t>
  </si>
  <si>
    <t>0916</t>
  </si>
  <si>
    <t>Kab. Banjarnegara</t>
  </si>
  <si>
    <t>0917</t>
  </si>
  <si>
    <t>Kab. Magelang</t>
  </si>
  <si>
    <t>0918</t>
  </si>
  <si>
    <t>Kab. Temanggung</t>
  </si>
  <si>
    <t>0919</t>
  </si>
  <si>
    <t>Kab. Wonosobo</t>
  </si>
  <si>
    <t>0920</t>
  </si>
  <si>
    <t>Kab. Purworejo</t>
  </si>
  <si>
    <t>0921</t>
  </si>
  <si>
    <t>Kab. Kebumen</t>
  </si>
  <si>
    <t>0922</t>
  </si>
  <si>
    <t>Kab. Klaten</t>
  </si>
  <si>
    <t>0923</t>
  </si>
  <si>
    <t>Kab. Boyolali</t>
  </si>
  <si>
    <t>0924</t>
  </si>
  <si>
    <t>Kab. Sragen</t>
  </si>
  <si>
    <t>0925</t>
  </si>
  <si>
    <t>Kab. Sukoharjo</t>
  </si>
  <si>
    <t>0926</t>
  </si>
  <si>
    <t>Kab. Karanganyar</t>
  </si>
  <si>
    <t>0927</t>
  </si>
  <si>
    <t>Kab. Wonogiri</t>
  </si>
  <si>
    <t>0928</t>
  </si>
  <si>
    <t>Kab. Batang</t>
  </si>
  <si>
    <t>0929</t>
  </si>
  <si>
    <t>Kota Semarang</t>
  </si>
  <si>
    <t>0991</t>
  </si>
  <si>
    <t>Kota Salatiga</t>
  </si>
  <si>
    <t>0992</t>
  </si>
  <si>
    <t>Kota Pekalongan</t>
  </si>
  <si>
    <t>0993</t>
  </si>
  <si>
    <t>Kota Tegal</t>
  </si>
  <si>
    <t>0994</t>
  </si>
  <si>
    <t>Kota Magelang</t>
  </si>
  <si>
    <t>0995</t>
  </si>
  <si>
    <t>Kota Surakarta/Solo</t>
  </si>
  <si>
    <t>0996</t>
  </si>
  <si>
    <t>Provinsi Jawa Timur</t>
  </si>
  <si>
    <t>Kab. Gresik</t>
  </si>
  <si>
    <t>1201</t>
  </si>
  <si>
    <t>Kab. Sidoarjo</t>
  </si>
  <si>
    <t>1202</t>
  </si>
  <si>
    <t>Kab. Mojokerto</t>
  </si>
  <si>
    <t>1203</t>
  </si>
  <si>
    <t>Kab. Jombang</t>
  </si>
  <si>
    <t>1204</t>
  </si>
  <si>
    <t>Kab. Sampang</t>
  </si>
  <si>
    <t>1205</t>
  </si>
  <si>
    <t>Kab. Pamekasan</t>
  </si>
  <si>
    <t>1206</t>
  </si>
  <si>
    <t>Kab. Sumenep</t>
  </si>
  <si>
    <t>1207</t>
  </si>
  <si>
    <t>Kab. Bangkalan</t>
  </si>
  <si>
    <t>1208</t>
  </si>
  <si>
    <t>Kab. Bondowoso</t>
  </si>
  <si>
    <t>1209</t>
  </si>
  <si>
    <t>Kab. Banyuwangi</t>
  </si>
  <si>
    <t>1211</t>
  </si>
  <si>
    <t>Kab. Jember</t>
  </si>
  <si>
    <t>1212</t>
  </si>
  <si>
    <t>Kab. Malang</t>
  </si>
  <si>
    <t>1213</t>
  </si>
  <si>
    <t>Kab. Pasuruan</t>
  </si>
  <si>
    <t>1214</t>
  </si>
  <si>
    <t>Kab. Probolinggo</t>
  </si>
  <si>
    <t>1215</t>
  </si>
  <si>
    <t>Kab. Lumajang</t>
  </si>
  <si>
    <t>1216</t>
  </si>
  <si>
    <t>Kab. Kediri</t>
  </si>
  <si>
    <t>1217</t>
  </si>
  <si>
    <t>Kab. Nganjuk</t>
  </si>
  <si>
    <t>1218</t>
  </si>
  <si>
    <t>Kab. Tulungagung</t>
  </si>
  <si>
    <t>1219</t>
  </si>
  <si>
    <t>Kab. Trenggalek</t>
  </si>
  <si>
    <t>1220</t>
  </si>
  <si>
    <t>Kab. Blitar</t>
  </si>
  <si>
    <t>1221</t>
  </si>
  <si>
    <t>Kab. Madiun</t>
  </si>
  <si>
    <t>1222</t>
  </si>
  <si>
    <t>Kab. Ngawi</t>
  </si>
  <si>
    <t>1223</t>
  </si>
  <si>
    <t>Kab. Magetan</t>
  </si>
  <si>
    <t>1224</t>
  </si>
  <si>
    <t>Kab. Ponorogo</t>
  </si>
  <si>
    <t>1225</t>
  </si>
  <si>
    <t>Kab. Pacitan</t>
  </si>
  <si>
    <t>1226</t>
  </si>
  <si>
    <t>Kab. Bojonegoro</t>
  </si>
  <si>
    <t>1227</t>
  </si>
  <si>
    <t>Kab. Tuban</t>
  </si>
  <si>
    <t>1228</t>
  </si>
  <si>
    <t>Kab. Lamongan</t>
  </si>
  <si>
    <t>1229</t>
  </si>
  <si>
    <t>Kab. Situbondo</t>
  </si>
  <si>
    <t>1230</t>
  </si>
  <si>
    <t>Kota Batu</t>
  </si>
  <si>
    <t>1271</t>
  </si>
  <si>
    <t>Kota Surabaya</t>
  </si>
  <si>
    <t>1291</t>
  </si>
  <si>
    <t>Kota Mojokerto</t>
  </si>
  <si>
    <t>1292</t>
  </si>
  <si>
    <t>Kota Malang</t>
  </si>
  <si>
    <t>1293</t>
  </si>
  <si>
    <t>Kota Pasuruan</t>
  </si>
  <si>
    <t>1294</t>
  </si>
  <si>
    <t>Kota Probolinggo</t>
  </si>
  <si>
    <t>1295</t>
  </si>
  <si>
    <t>Kota Blitar</t>
  </si>
  <si>
    <t>1296</t>
  </si>
  <si>
    <t>Kota Kediri</t>
  </si>
  <si>
    <t>1297</t>
  </si>
  <si>
    <t>Kota Madiun</t>
  </si>
  <si>
    <t>1298</t>
  </si>
  <si>
    <t>Provinsi Bengkulu</t>
  </si>
  <si>
    <t>Kab. Bengkulu Selatan</t>
  </si>
  <si>
    <t>2301</t>
  </si>
  <si>
    <t>Kab. Bengkulu Utara</t>
  </si>
  <si>
    <t>2302</t>
  </si>
  <si>
    <t>Kab. Rejang Lebong</t>
  </si>
  <si>
    <t>2303</t>
  </si>
  <si>
    <t>Kab. Lebong</t>
  </si>
  <si>
    <t>2304</t>
  </si>
  <si>
    <t>Kab. Kepahiang</t>
  </si>
  <si>
    <t>2305</t>
  </si>
  <si>
    <t>Kab. Mukomuko</t>
  </si>
  <si>
    <t>2306</t>
  </si>
  <si>
    <t>Kab. Seluma</t>
  </si>
  <si>
    <t>2307</t>
  </si>
  <si>
    <t>Kab. Kaur</t>
  </si>
  <si>
    <t>2308</t>
  </si>
  <si>
    <t>Kab. Bengkulu Tengah</t>
  </si>
  <si>
    <t>2309</t>
  </si>
  <si>
    <t>Kota Bengkulu</t>
  </si>
  <si>
    <t>2391</t>
  </si>
  <si>
    <t>Provinsi Jambi</t>
  </si>
  <si>
    <t>Kab. Batanghari</t>
  </si>
  <si>
    <t>3101</t>
  </si>
  <si>
    <t>Kab. Sarolangun</t>
  </si>
  <si>
    <t>3104</t>
  </si>
  <si>
    <t>Kab. Kerinci</t>
  </si>
  <si>
    <t>3105</t>
  </si>
  <si>
    <t>Kab. Muaro Jambi</t>
  </si>
  <si>
    <t>3106</t>
  </si>
  <si>
    <t>Kab. Tanjung Jabung Barat</t>
  </si>
  <si>
    <t>3107</t>
  </si>
  <si>
    <t>Kab. Tanjung Jabung Timur</t>
  </si>
  <si>
    <t>3108</t>
  </si>
  <si>
    <t>Kab. Tebo</t>
  </si>
  <si>
    <t>3109</t>
  </si>
  <si>
    <t>Kab. Merangin</t>
  </si>
  <si>
    <t>3111</t>
  </si>
  <si>
    <t>Kab. Bungo</t>
  </si>
  <si>
    <t>3112</t>
  </si>
  <si>
    <t>Kota Jambi</t>
  </si>
  <si>
    <t>3191</t>
  </si>
  <si>
    <t>Kota Sungai Penuh</t>
  </si>
  <si>
    <t>3192</t>
  </si>
  <si>
    <t>Provinsi Nanggroe Aceh Darussalam</t>
  </si>
  <si>
    <t>Kab. Aceh Besar</t>
  </si>
  <si>
    <t>3201</t>
  </si>
  <si>
    <t>Kab. Pidie</t>
  </si>
  <si>
    <t>3202</t>
  </si>
  <si>
    <t>Kab. Aceh Utara</t>
  </si>
  <si>
    <t>3203</t>
  </si>
  <si>
    <t>Kab. Aceh Timur</t>
  </si>
  <si>
    <t>3204</t>
  </si>
  <si>
    <t>Kab. Aceh Selatan</t>
  </si>
  <si>
    <t>3205</t>
  </si>
  <si>
    <t>Kab. Aceh Barat</t>
  </si>
  <si>
    <t>3206</t>
  </si>
  <si>
    <t>Kab. Aceh Tengah</t>
  </si>
  <si>
    <t>3207</t>
  </si>
  <si>
    <t>Kab. Aceh Tenggara</t>
  </si>
  <si>
    <t>3208</t>
  </si>
  <si>
    <t>Kab. Aceh Singkil</t>
  </si>
  <si>
    <t>3209</t>
  </si>
  <si>
    <t>Kab. Aceh Jeumpa /Bireuen</t>
  </si>
  <si>
    <t>3210</t>
  </si>
  <si>
    <t>Kab. Aceh Tamiang</t>
  </si>
  <si>
    <t>3211</t>
  </si>
  <si>
    <t>Kab. Gayo Luwes</t>
  </si>
  <si>
    <t>3212</t>
  </si>
  <si>
    <t>Kab. Aceh Barat Daya</t>
  </si>
  <si>
    <t>3213</t>
  </si>
  <si>
    <t>Kab. Aceh Jaya</t>
  </si>
  <si>
    <t>3214</t>
  </si>
  <si>
    <t>Kab. Nagan Raya</t>
  </si>
  <si>
    <t>3215</t>
  </si>
  <si>
    <t>Kab. Simeuleu</t>
  </si>
  <si>
    <t>3216</t>
  </si>
  <si>
    <t>Kab. Bener Meriah</t>
  </si>
  <si>
    <t>3217</t>
  </si>
  <si>
    <t>Kab. Pidie Jaya</t>
  </si>
  <si>
    <t>3218</t>
  </si>
  <si>
    <t>Kab. Subulussalam</t>
  </si>
  <si>
    <t>3219</t>
  </si>
  <si>
    <t>Kota Banda Aceh</t>
  </si>
  <si>
    <t>3291</t>
  </si>
  <si>
    <t>Kota Sabang</t>
  </si>
  <si>
    <t>3292</t>
  </si>
  <si>
    <t>Kota Lhokseumawe</t>
  </si>
  <si>
    <t>3293</t>
  </si>
  <si>
    <t>Kota Langsa</t>
  </si>
  <si>
    <t>3294</t>
  </si>
  <si>
    <t>Provinsi Sumatera Utara</t>
  </si>
  <si>
    <t>Kab. Deli Serdang</t>
  </si>
  <si>
    <t>3301</t>
  </si>
  <si>
    <t>Kab. Langkat</t>
  </si>
  <si>
    <t>3302</t>
  </si>
  <si>
    <t>Kab. Karo</t>
  </si>
  <si>
    <t>3303</t>
  </si>
  <si>
    <t>Kab. Simalungun</t>
  </si>
  <si>
    <t>3304</t>
  </si>
  <si>
    <t>Kab. Labuhan Batu</t>
  </si>
  <si>
    <t>3305</t>
  </si>
  <si>
    <t>Kab. Asahan</t>
  </si>
  <si>
    <t>3306</t>
  </si>
  <si>
    <t>Kab. Dairi</t>
  </si>
  <si>
    <t>3307</t>
  </si>
  <si>
    <t>Kab. Tapanuli Utara</t>
  </si>
  <si>
    <t>3308</t>
  </si>
  <si>
    <t>Kab. Tapanuli Tengah</t>
  </si>
  <si>
    <t>3309</t>
  </si>
  <si>
    <t>Kab. Tapanuli Selatan</t>
  </si>
  <si>
    <t>3310</t>
  </si>
  <si>
    <t>Kab. Nias</t>
  </si>
  <si>
    <t>3311</t>
  </si>
  <si>
    <t>Kab. Toba Samosir</t>
  </si>
  <si>
    <t>3313</t>
  </si>
  <si>
    <t>Kab. Mandailing Natal</t>
  </si>
  <si>
    <t>3314</t>
  </si>
  <si>
    <t>Kab. Nias Selatan</t>
  </si>
  <si>
    <t>3315</t>
  </si>
  <si>
    <t>Kab. Humbang Hasundutan</t>
  </si>
  <si>
    <t>3316</t>
  </si>
  <si>
    <t>Kab. Pakpak Bharat</t>
  </si>
  <si>
    <t>3317</t>
  </si>
  <si>
    <t>Kab. Samosir</t>
  </si>
  <si>
    <t>3318</t>
  </si>
  <si>
    <t>Kab. Serdang Bedagai</t>
  </si>
  <si>
    <t>3319</t>
  </si>
  <si>
    <t>Kab. Batu Bara</t>
  </si>
  <si>
    <t>3321</t>
  </si>
  <si>
    <t>Kab. Padang Lawas</t>
  </si>
  <si>
    <t>3322</t>
  </si>
  <si>
    <t>Kab. Padang Lawas Utara</t>
  </si>
  <si>
    <t>3323</t>
  </si>
  <si>
    <t>Kab. Labuanbatu Selatan</t>
  </si>
  <si>
    <t>3324</t>
  </si>
  <si>
    <t>Kab. Labuanbatu Utara</t>
  </si>
  <si>
    <t>3325</t>
  </si>
  <si>
    <t>Kab. Nias Barat</t>
  </si>
  <si>
    <t>3326</t>
  </si>
  <si>
    <t>Kab. Nias Utara</t>
  </si>
  <si>
    <t>3327</t>
  </si>
  <si>
    <t>Kota Tebing Tinggi</t>
  </si>
  <si>
    <t>3391</t>
  </si>
  <si>
    <t>Kota Binjai</t>
  </si>
  <si>
    <t>3392</t>
  </si>
  <si>
    <t>Kota Pematang Siantar</t>
  </si>
  <si>
    <t>3393</t>
  </si>
  <si>
    <t>Kota Tanjung Balai</t>
  </si>
  <si>
    <t>3394</t>
  </si>
  <si>
    <t>Kota Sibolga</t>
  </si>
  <si>
    <t>3395</t>
  </si>
  <si>
    <t>Kota Medan</t>
  </si>
  <si>
    <t>3396</t>
  </si>
  <si>
    <t>Kota Gunung Sitoli</t>
  </si>
  <si>
    <t>3397</t>
  </si>
  <si>
    <t>Kota Padang Sidempuan</t>
  </si>
  <si>
    <t>3399</t>
  </si>
  <si>
    <t>Provinsi Sumatera Barat</t>
  </si>
  <si>
    <t>Kab. Agam</t>
  </si>
  <si>
    <t>3401</t>
  </si>
  <si>
    <t>Kab. Pasaman</t>
  </si>
  <si>
    <t>3402</t>
  </si>
  <si>
    <t>Kab. Limapuluh Kota</t>
  </si>
  <si>
    <t>3403</t>
  </si>
  <si>
    <t>Kab. Solok Selatan</t>
  </si>
  <si>
    <t>3404</t>
  </si>
  <si>
    <t>Kab. Padang Pariaman</t>
  </si>
  <si>
    <t>3405</t>
  </si>
  <si>
    <t>Kab. Pesisir Selatan</t>
  </si>
  <si>
    <t>3406</t>
  </si>
  <si>
    <t>Kab. Tanah Datar</t>
  </si>
  <si>
    <t>3407</t>
  </si>
  <si>
    <t>Kab. Sawah Lunto/Sijunjung</t>
  </si>
  <si>
    <t>3408</t>
  </si>
  <si>
    <t>Kab. Kepulauan Mentawai</t>
  </si>
  <si>
    <t>3409</t>
  </si>
  <si>
    <t>Kab. Pasaman Barat</t>
  </si>
  <si>
    <t>3410</t>
  </si>
  <si>
    <t>Kab. Dharmasraya</t>
  </si>
  <si>
    <t>3411</t>
  </si>
  <si>
    <t>Kab. Solok</t>
  </si>
  <si>
    <t>3412</t>
  </si>
  <si>
    <t>Kota Bukittinggi</t>
  </si>
  <si>
    <t>3491</t>
  </si>
  <si>
    <t>Kota Padang</t>
  </si>
  <si>
    <t>3492</t>
  </si>
  <si>
    <t>Kota Sawahlunto</t>
  </si>
  <si>
    <t>3493</t>
  </si>
  <si>
    <t>Kota Padang Panjang</t>
  </si>
  <si>
    <t>3494</t>
  </si>
  <si>
    <t>Kota Solok</t>
  </si>
  <si>
    <t>3495</t>
  </si>
  <si>
    <t>Kota Payakumbuh</t>
  </si>
  <si>
    <t>3496</t>
  </si>
  <si>
    <t>Kota Pariaman</t>
  </si>
  <si>
    <t>3497</t>
  </si>
  <si>
    <t>Provinsi Riau</t>
  </si>
  <si>
    <t>Kab. Kampar</t>
  </si>
  <si>
    <t>3501</t>
  </si>
  <si>
    <t>Kab. Bengkalis</t>
  </si>
  <si>
    <t>3502</t>
  </si>
  <si>
    <t>Kab. Indragiri Hulu</t>
  </si>
  <si>
    <t>3504</t>
  </si>
  <si>
    <t>Kab. Indragiri Hilir</t>
  </si>
  <si>
    <t>3505</t>
  </si>
  <si>
    <t>Kab. Rokan Hulu</t>
  </si>
  <si>
    <t>3508</t>
  </si>
  <si>
    <t>Kab. Rokan Hilir</t>
  </si>
  <si>
    <t>3509</t>
  </si>
  <si>
    <t>Kab. Pelalawan</t>
  </si>
  <si>
    <t>3510</t>
  </si>
  <si>
    <t>Kab. Siak</t>
  </si>
  <si>
    <t>3511</t>
  </si>
  <si>
    <t>Kab. Kuantan Singingi</t>
  </si>
  <si>
    <t>3512</t>
  </si>
  <si>
    <t>Kab. Kepulauan Meranti</t>
  </si>
  <si>
    <t>3513</t>
  </si>
  <si>
    <t>Kota Pekanbaru</t>
  </si>
  <si>
    <t>3591</t>
  </si>
  <si>
    <t>Kota Dumai</t>
  </si>
  <si>
    <t>3592</t>
  </si>
  <si>
    <t>Provinsi Sumatera Selatan</t>
  </si>
  <si>
    <t>Kab. Musi Banyuasin</t>
  </si>
  <si>
    <t>3606</t>
  </si>
  <si>
    <t>Kab. Ogan Komering Ulu</t>
  </si>
  <si>
    <t>3607</t>
  </si>
  <si>
    <t>Kab. Lematang Ilir Ogan Tengah (Muara Enim)</t>
  </si>
  <si>
    <t>3608</t>
  </si>
  <si>
    <t>Kab. Lahat</t>
  </si>
  <si>
    <t>3609</t>
  </si>
  <si>
    <t>Kab. Musi Rawas</t>
  </si>
  <si>
    <t>3610</t>
  </si>
  <si>
    <t>Kab. Ogan Komering Ilir</t>
  </si>
  <si>
    <t>3611</t>
  </si>
  <si>
    <t>Kab. Banyuasin</t>
  </si>
  <si>
    <t>3613</t>
  </si>
  <si>
    <t>Kab. Ogan Komering Ulu Selatan</t>
  </si>
  <si>
    <t>3614</t>
  </si>
  <si>
    <t>Kab. Ogan Komering Ulu Timur</t>
  </si>
  <si>
    <t>3615</t>
  </si>
  <si>
    <t>Kab. Ogan Ilir</t>
  </si>
  <si>
    <t>3616</t>
  </si>
  <si>
    <t>Kab. Empat Lawang</t>
  </si>
  <si>
    <t>3617</t>
  </si>
  <si>
    <t>Kab. Musi Rawas Utara</t>
  </si>
  <si>
    <t>3618</t>
  </si>
  <si>
    <t>Kab. Penukal Abab Lematang Ilir</t>
  </si>
  <si>
    <t>3619</t>
  </si>
  <si>
    <t>Kota Palembang</t>
  </si>
  <si>
    <t>3691</t>
  </si>
  <si>
    <t>Kota Lubuklinggau</t>
  </si>
  <si>
    <t>3693</t>
  </si>
  <si>
    <t>Kota Prabumulih</t>
  </si>
  <si>
    <t>3694</t>
  </si>
  <si>
    <t>Kota Pagar Alam</t>
  </si>
  <si>
    <t>3697</t>
  </si>
  <si>
    <t>Provinsi Kep. Bangka Belitung</t>
  </si>
  <si>
    <t>Kab. Bangka</t>
  </si>
  <si>
    <t>3701</t>
  </si>
  <si>
    <t>Kab. Belitung</t>
  </si>
  <si>
    <t>3702</t>
  </si>
  <si>
    <t>Kab. Bangka Barat</t>
  </si>
  <si>
    <t>3703</t>
  </si>
  <si>
    <t>Kab. Bangka Selatan</t>
  </si>
  <si>
    <t>3704</t>
  </si>
  <si>
    <t>Kab. Bangka Tengah</t>
  </si>
  <si>
    <t>3705</t>
  </si>
  <si>
    <t>Kab. Belitung Timur</t>
  </si>
  <si>
    <t>3706</t>
  </si>
  <si>
    <t>Kota Pangkal Pinang</t>
  </si>
  <si>
    <t>3707</t>
  </si>
  <si>
    <t>Provinsi Kep. Riau</t>
  </si>
  <si>
    <t>Kab. Karimun</t>
  </si>
  <si>
    <t>3801</t>
  </si>
  <si>
    <t>Kab. Lingga</t>
  </si>
  <si>
    <t>3802</t>
  </si>
  <si>
    <t>Kab. Natuna</t>
  </si>
  <si>
    <t>3803</t>
  </si>
  <si>
    <t>Kab. Bintan (d/h Kabupaten Kepulauan Riau)</t>
  </si>
  <si>
    <t>3804</t>
  </si>
  <si>
    <t>Kab. Kepulauan Anambas</t>
  </si>
  <si>
    <t>3805</t>
  </si>
  <si>
    <t>Kota Tanjung Pinang</t>
  </si>
  <si>
    <t>3891</t>
  </si>
  <si>
    <t>Kota Batam</t>
  </si>
  <si>
    <t>3892</t>
  </si>
  <si>
    <t>Provinsi Lampung</t>
  </si>
  <si>
    <t>Kab. Lampung Selatan</t>
  </si>
  <si>
    <t>3901</t>
  </si>
  <si>
    <t>Kab. Lampung Tengah</t>
  </si>
  <si>
    <t>3902</t>
  </si>
  <si>
    <t>Kab. Lampung Utara</t>
  </si>
  <si>
    <t>3903</t>
  </si>
  <si>
    <t>Kab. Lampung Barat</t>
  </si>
  <si>
    <t>3904</t>
  </si>
  <si>
    <t>Kab. Tulang Bawang</t>
  </si>
  <si>
    <t>3905</t>
  </si>
  <si>
    <t>Kab. Tanggamus</t>
  </si>
  <si>
    <t>3906</t>
  </si>
  <si>
    <t>Kab. Lampung Timur</t>
  </si>
  <si>
    <t>3907</t>
  </si>
  <si>
    <t>Kab. Way Kanan</t>
  </si>
  <si>
    <t>3908</t>
  </si>
  <si>
    <t>Kab. Pesawaran</t>
  </si>
  <si>
    <t>3909</t>
  </si>
  <si>
    <t>Kab. Pringsewu</t>
  </si>
  <si>
    <t>3910</t>
  </si>
  <si>
    <t>Kab. Tulang Bawang Barat</t>
  </si>
  <si>
    <t>3911</t>
  </si>
  <si>
    <t>Kab. Mesuji</t>
  </si>
  <si>
    <t>3912</t>
  </si>
  <si>
    <t>Kab. Pesisir Barat</t>
  </si>
  <si>
    <t>3913</t>
  </si>
  <si>
    <t>Kota Bandar Lampung</t>
  </si>
  <si>
    <t>3991</t>
  </si>
  <si>
    <t>Kota Metro</t>
  </si>
  <si>
    <t>3992</t>
  </si>
  <si>
    <t>Provinsi Kalimantan Selatan</t>
  </si>
  <si>
    <t>Kab. Banjar</t>
  </si>
  <si>
    <t>5101</t>
  </si>
  <si>
    <t>Kab. Tanah Laut</t>
  </si>
  <si>
    <t>5102</t>
  </si>
  <si>
    <t>Kab. Tapin</t>
  </si>
  <si>
    <t>5103</t>
  </si>
  <si>
    <t>Kab. Hulu Sungai Selatan</t>
  </si>
  <si>
    <t>5104</t>
  </si>
  <si>
    <t>Kab. Hulu Sungai Tengah</t>
  </si>
  <si>
    <t>5105</t>
  </si>
  <si>
    <t>Kab. Hulu Sungai Utara</t>
  </si>
  <si>
    <t>5106</t>
  </si>
  <si>
    <t>Kab. Barito Kuala</t>
  </si>
  <si>
    <t>5107</t>
  </si>
  <si>
    <t>Kab. Kota Baru</t>
  </si>
  <si>
    <t>5108</t>
  </si>
  <si>
    <t>Kab. Tabalong</t>
  </si>
  <si>
    <t>5109</t>
  </si>
  <si>
    <t>Kab. Tanah Bumbu</t>
  </si>
  <si>
    <t>5110</t>
  </si>
  <si>
    <t>Kab. Balangan</t>
  </si>
  <si>
    <t>5111</t>
  </si>
  <si>
    <t>Kota Banjarmasin</t>
  </si>
  <si>
    <t>5191</t>
  </si>
  <si>
    <t>Kota Banjarbaru</t>
  </si>
  <si>
    <t>5192</t>
  </si>
  <si>
    <t>Provinsi Kalimantan Barat</t>
  </si>
  <si>
    <t>Kab. Pontianak</t>
  </si>
  <si>
    <t>5301</t>
  </si>
  <si>
    <t>Kab. Sambas</t>
  </si>
  <si>
    <t>5302</t>
  </si>
  <si>
    <t>Kab. Ketapang</t>
  </si>
  <si>
    <t>5303</t>
  </si>
  <si>
    <t>Kab. Sanggau</t>
  </si>
  <si>
    <t>5304</t>
  </si>
  <si>
    <t>Kab. Sintang</t>
  </si>
  <si>
    <t>5305</t>
  </si>
  <si>
    <t>Kab. Kapuas Hulu</t>
  </si>
  <si>
    <t>5306</t>
  </si>
  <si>
    <t>Kab. Bengkayang</t>
  </si>
  <si>
    <t>5307</t>
  </si>
  <si>
    <t>Kab. Landak</t>
  </si>
  <si>
    <t>5308</t>
  </si>
  <si>
    <t>Kab. Sekadau</t>
  </si>
  <si>
    <t>5309</t>
  </si>
  <si>
    <t>Kab. Melawi</t>
  </si>
  <si>
    <t>5310</t>
  </si>
  <si>
    <t>Kab. Kayong Utara</t>
  </si>
  <si>
    <t>5311</t>
  </si>
  <si>
    <t>Kab. Kubu Raya</t>
  </si>
  <si>
    <t>5312</t>
  </si>
  <si>
    <t>Kota Pontianak</t>
  </si>
  <si>
    <t>5391</t>
  </si>
  <si>
    <t>Kota Singkawang</t>
  </si>
  <si>
    <t>5392</t>
  </si>
  <si>
    <t>Provinsi Kalimantan Timur</t>
  </si>
  <si>
    <t>Kab. Kutai Kartanegara</t>
  </si>
  <si>
    <t>5401</t>
  </si>
  <si>
    <t>Kab. Berau</t>
  </si>
  <si>
    <t>5402</t>
  </si>
  <si>
    <t>Kab. Paser</t>
  </si>
  <si>
    <t>5403</t>
  </si>
  <si>
    <t>Kab. Kutai Barat</t>
  </si>
  <si>
    <t>5405</t>
  </si>
  <si>
    <t>Kab. Kutai Timur</t>
  </si>
  <si>
    <t>5406</t>
  </si>
  <si>
    <t>Kab. Penajam Paser Utara</t>
  </si>
  <si>
    <t>5411</t>
  </si>
  <si>
    <t>Kab. Mahakam Ulu</t>
  </si>
  <si>
    <t>5413</t>
  </si>
  <si>
    <t>Kota Samarinda</t>
  </si>
  <si>
    <t>5491</t>
  </si>
  <si>
    <t>Kota Balikpapan</t>
  </si>
  <si>
    <t>5492</t>
  </si>
  <si>
    <t>Kota Bontang</t>
  </si>
  <si>
    <t>5494</t>
  </si>
  <si>
    <t>Kalimantan Utara</t>
  </si>
  <si>
    <t>Kab. Bulungan</t>
  </si>
  <si>
    <t>5404</t>
  </si>
  <si>
    <t>Kab. Nunukan</t>
  </si>
  <si>
    <t>5409</t>
  </si>
  <si>
    <t>Kab. Malinau</t>
  </si>
  <si>
    <t>5410</t>
  </si>
  <si>
    <t>Kab. Tana Tidung</t>
  </si>
  <si>
    <t>5412</t>
  </si>
  <si>
    <t>Kota Tarakan</t>
  </si>
  <si>
    <t>5493</t>
  </si>
  <si>
    <t>Provinsi Kalimantan Tengah</t>
  </si>
  <si>
    <t>Kab. Kapuas</t>
  </si>
  <si>
    <t>5801</t>
  </si>
  <si>
    <t>Kab. Kotawaringin Barat</t>
  </si>
  <si>
    <t>5802</t>
  </si>
  <si>
    <t>Kab. Kotawaringin Timur</t>
  </si>
  <si>
    <t>5803</t>
  </si>
  <si>
    <t>Kab. Murung Raya</t>
  </si>
  <si>
    <t>5804</t>
  </si>
  <si>
    <t>Kab. Barito Timur</t>
  </si>
  <si>
    <t>5805</t>
  </si>
  <si>
    <t>Kab. Barito Selatan</t>
  </si>
  <si>
    <t>5806</t>
  </si>
  <si>
    <t>Kab. Gunung Mas</t>
  </si>
  <si>
    <t>5807</t>
  </si>
  <si>
    <t>Kab. Barito Utara</t>
  </si>
  <si>
    <t>5808</t>
  </si>
  <si>
    <t>Kab. Pulang Pisau</t>
  </si>
  <si>
    <t>5809</t>
  </si>
  <si>
    <t>Kab. Seruyan</t>
  </si>
  <si>
    <t>5810</t>
  </si>
  <si>
    <t>Kab. Katingan</t>
  </si>
  <si>
    <t>5811</t>
  </si>
  <si>
    <t>Kab. Sukamara</t>
  </si>
  <si>
    <t>5812</t>
  </si>
  <si>
    <t>Kab. Lamandau</t>
  </si>
  <si>
    <t>5813</t>
  </si>
  <si>
    <t>Kota Palangkaraya</t>
  </si>
  <si>
    <t>5892</t>
  </si>
  <si>
    <t>Provinsi Sulawesi Tengah</t>
  </si>
  <si>
    <t>Kab. Donggala</t>
  </si>
  <si>
    <t>6001</t>
  </si>
  <si>
    <t>Kab. Poso</t>
  </si>
  <si>
    <t>6002</t>
  </si>
  <si>
    <t>Kab. Banggai</t>
  </si>
  <si>
    <t>6003</t>
  </si>
  <si>
    <t>Kab. Toli-Toli</t>
  </si>
  <si>
    <t>6004</t>
  </si>
  <si>
    <t>Kab. Banggai Kepulauan</t>
  </si>
  <si>
    <t>6005</t>
  </si>
  <si>
    <t>Kab. Morowali</t>
  </si>
  <si>
    <t>6006</t>
  </si>
  <si>
    <t>Kab. Buol</t>
  </si>
  <si>
    <t>6007</t>
  </si>
  <si>
    <t>Kab. Tojo Una-Una</t>
  </si>
  <si>
    <t>6008</t>
  </si>
  <si>
    <t>Kab. Parigi Moutong</t>
  </si>
  <si>
    <t>6009</t>
  </si>
  <si>
    <t>Kab. Sigi</t>
  </si>
  <si>
    <t>6010</t>
  </si>
  <si>
    <t>Kab. Banggai Laut</t>
  </si>
  <si>
    <t>6011</t>
  </si>
  <si>
    <t>Kab. Morowali Utara</t>
  </si>
  <si>
    <t>6012</t>
  </si>
  <si>
    <t>Kota Palu</t>
  </si>
  <si>
    <t>6091</t>
  </si>
  <si>
    <t>Provinsi Sulawesi Selatan</t>
  </si>
  <si>
    <t>Kab. Pinrang</t>
  </si>
  <si>
    <t>6101</t>
  </si>
  <si>
    <t>Kab. Gowa</t>
  </si>
  <si>
    <t>6102</t>
  </si>
  <si>
    <t>Kab. Wajo</t>
  </si>
  <si>
    <t>6103</t>
  </si>
  <si>
    <t>Kab. Bone</t>
  </si>
  <si>
    <t>6105</t>
  </si>
  <si>
    <t>Kab. Tana Toraja</t>
  </si>
  <si>
    <t>6106</t>
  </si>
  <si>
    <t>Kab. Maros</t>
  </si>
  <si>
    <t>6107</t>
  </si>
  <si>
    <t>Kab. Luwu</t>
  </si>
  <si>
    <t>6109</t>
  </si>
  <si>
    <t>Kab. Sinjai</t>
  </si>
  <si>
    <t>6110</t>
  </si>
  <si>
    <t>Kab. Bulukumba</t>
  </si>
  <si>
    <t>6111</t>
  </si>
  <si>
    <t>Kab. Bantaeng</t>
  </si>
  <si>
    <t>6112</t>
  </si>
  <si>
    <t>Kab. Jeneponto</t>
  </si>
  <si>
    <t>6113</t>
  </si>
  <si>
    <t>Kab. Kepulauan Selayar</t>
  </si>
  <si>
    <t>6114</t>
  </si>
  <si>
    <t>Kab. Takalar</t>
  </si>
  <si>
    <t>6115</t>
  </si>
  <si>
    <t>Kab. Barru</t>
  </si>
  <si>
    <t>6116</t>
  </si>
  <si>
    <t>Kab. Sidenreng Rappang</t>
  </si>
  <si>
    <t>6117</t>
  </si>
  <si>
    <t>Kab. Pangkajene Kepulauan</t>
  </si>
  <si>
    <t>6118</t>
  </si>
  <si>
    <t>Kab. Soppeng (d/h Watansoppeng)</t>
  </si>
  <si>
    <t>6119</t>
  </si>
  <si>
    <t>Kab. Enrekang</t>
  </si>
  <si>
    <t>6121</t>
  </si>
  <si>
    <t>Kab. Luwu Timur (d/h Luwu Selatan)</t>
  </si>
  <si>
    <t>6122</t>
  </si>
  <si>
    <t>Kab. Luwu Utara</t>
  </si>
  <si>
    <t>6124</t>
  </si>
  <si>
    <t>Kab. Toraja Utara</t>
  </si>
  <si>
    <t>6125</t>
  </si>
  <si>
    <t>Kota Makassar</t>
  </si>
  <si>
    <t>6191</t>
  </si>
  <si>
    <t>Kota Pare-Pare</t>
  </si>
  <si>
    <t>6192</t>
  </si>
  <si>
    <t>Kota Palopo</t>
  </si>
  <si>
    <t>6193</t>
  </si>
  <si>
    <t>Provinsi Sulawesi Utara</t>
  </si>
  <si>
    <t>Kab. Minahasa</t>
  </si>
  <si>
    <t>6202</t>
  </si>
  <si>
    <t>Kab. Bolaang Mongondow</t>
  </si>
  <si>
    <t>6203</t>
  </si>
  <si>
    <t>Kab. Kepulauan Sangihe</t>
  </si>
  <si>
    <t>6204</t>
  </si>
  <si>
    <t>Kab. kepulauan Talaud</t>
  </si>
  <si>
    <t>6205</t>
  </si>
  <si>
    <t>Kab. Minahasa Selatan</t>
  </si>
  <si>
    <t>6206</t>
  </si>
  <si>
    <t>Kab. Minahasa Utara</t>
  </si>
  <si>
    <t>6207</t>
  </si>
  <si>
    <t>Kab. Minahasa Tenggara</t>
  </si>
  <si>
    <t>6209</t>
  </si>
  <si>
    <t>Kab. Bolaang Mongondow Utara</t>
  </si>
  <si>
    <t>6210</t>
  </si>
  <si>
    <t>Kab. Kepulauan Sitaro</t>
  </si>
  <si>
    <t>6211</t>
  </si>
  <si>
    <t>Kab. Bolaang Mongondow Selatan</t>
  </si>
  <si>
    <t>6212</t>
  </si>
  <si>
    <t>Kab. Bolaang Mongondow Timur</t>
  </si>
  <si>
    <t>6213</t>
  </si>
  <si>
    <t>Kota Manado</t>
  </si>
  <si>
    <t>6291</t>
  </si>
  <si>
    <t>Kota Kotamobagu</t>
  </si>
  <si>
    <t>6292</t>
  </si>
  <si>
    <t>Kota Bitung</t>
  </si>
  <si>
    <t>6293</t>
  </si>
  <si>
    <t>Kota Tomohon</t>
  </si>
  <si>
    <t>6294</t>
  </si>
  <si>
    <t>Provinsi Gorontalo</t>
  </si>
  <si>
    <t>Kab. Gorontalo</t>
  </si>
  <si>
    <t>6301</t>
  </si>
  <si>
    <t>Kab. Bualemo</t>
  </si>
  <si>
    <t>6302</t>
  </si>
  <si>
    <t>Kab. Bonebolango</t>
  </si>
  <si>
    <t>6303</t>
  </si>
  <si>
    <t>Kab. Pohuwato</t>
  </si>
  <si>
    <t>6304</t>
  </si>
  <si>
    <t>Kab. Gorontalo Utara</t>
  </si>
  <si>
    <t>6305</t>
  </si>
  <si>
    <t>Kota Gorontalo</t>
  </si>
  <si>
    <t>6391</t>
  </si>
  <si>
    <t>Provinsi Sulawesi Barat</t>
  </si>
  <si>
    <t>Kab. Polewali Mandar</t>
  </si>
  <si>
    <t>6401</t>
  </si>
  <si>
    <t>Kab. Majene</t>
  </si>
  <si>
    <t>6402</t>
  </si>
  <si>
    <t>Kab. Mamasa</t>
  </si>
  <si>
    <t>6403</t>
  </si>
  <si>
    <t>Kab. Mamuju Utara</t>
  </si>
  <si>
    <t>6404</t>
  </si>
  <si>
    <t>Kab. Mamuju Tengah</t>
  </si>
  <si>
    <t>6405</t>
  </si>
  <si>
    <t>Kab. Mamuju</t>
  </si>
  <si>
    <t>6406</t>
  </si>
  <si>
    <t>Provinsi Sulawesi Tenggara</t>
  </si>
  <si>
    <t>Kab. Buton</t>
  </si>
  <si>
    <t>6901</t>
  </si>
  <si>
    <t>Kab. Muna</t>
  </si>
  <si>
    <t>6903</t>
  </si>
  <si>
    <t>Kab. Kolaka</t>
  </si>
  <si>
    <t>6904</t>
  </si>
  <si>
    <t>Kab. Wakatobi</t>
  </si>
  <si>
    <t>6905</t>
  </si>
  <si>
    <t>Kab. Konawe</t>
  </si>
  <si>
    <t>6906</t>
  </si>
  <si>
    <t>Kab. Konawe Selatan</t>
  </si>
  <si>
    <t>6907</t>
  </si>
  <si>
    <t>Kab. Bombana</t>
  </si>
  <si>
    <t>6908</t>
  </si>
  <si>
    <t>Kab. Kolaka Utara</t>
  </si>
  <si>
    <t>6909</t>
  </si>
  <si>
    <t>Kab. Buton Utara</t>
  </si>
  <si>
    <t>6910</t>
  </si>
  <si>
    <t>Kab. Konawe Utara</t>
  </si>
  <si>
    <t>6911</t>
  </si>
  <si>
    <t>Kab. Kaloka Timur</t>
  </si>
  <si>
    <t>6912</t>
  </si>
  <si>
    <t>Kab. Konawe Kepulauan</t>
  </si>
  <si>
    <t>6913</t>
  </si>
  <si>
    <t>Kab. Buton Selatan</t>
  </si>
  <si>
    <t>6914</t>
  </si>
  <si>
    <t>Kab. Buton Tengah</t>
  </si>
  <si>
    <t>6915</t>
  </si>
  <si>
    <t>Kab. Muna Barat</t>
  </si>
  <si>
    <t>6916</t>
  </si>
  <si>
    <t>Kota Bau-Bau</t>
  </si>
  <si>
    <t>6990</t>
  </si>
  <si>
    <t>Kota Kendari</t>
  </si>
  <si>
    <t>6991</t>
  </si>
  <si>
    <t>Provinsi Nusa Tenggara Barat</t>
  </si>
  <si>
    <t>Kab. Lombok Barat</t>
  </si>
  <si>
    <t>7101</t>
  </si>
  <si>
    <t>Kab. Lombok Tengah</t>
  </si>
  <si>
    <t>7102</t>
  </si>
  <si>
    <t>Kab. Lombok Timur</t>
  </si>
  <si>
    <t>7103</t>
  </si>
  <si>
    <t>Kab. Sumbawa</t>
  </si>
  <si>
    <t>7104</t>
  </si>
  <si>
    <t>Kab. Bima</t>
  </si>
  <si>
    <t>7105</t>
  </si>
  <si>
    <t>Kab. Dompu</t>
  </si>
  <si>
    <t>7106</t>
  </si>
  <si>
    <t>Kab. Sumbawa Barat</t>
  </si>
  <si>
    <t>7107</t>
  </si>
  <si>
    <t>Kab. Lombok Utara</t>
  </si>
  <si>
    <t>7108</t>
  </si>
  <si>
    <t>Kota Mataram</t>
  </si>
  <si>
    <t>7191</t>
  </si>
  <si>
    <t>Kota. Bima</t>
  </si>
  <si>
    <t>7192</t>
  </si>
  <si>
    <t>Provinsi Bali</t>
  </si>
  <si>
    <t>Kab. Buleleng</t>
  </si>
  <si>
    <t>7201</t>
  </si>
  <si>
    <t>Kab. Jembrana</t>
  </si>
  <si>
    <t>7202</t>
  </si>
  <si>
    <t>Kab. Tabanan</t>
  </si>
  <si>
    <t>7203</t>
  </si>
  <si>
    <t>Kab. Badung</t>
  </si>
  <si>
    <t>7204</t>
  </si>
  <si>
    <t>Kab. Gianyar</t>
  </si>
  <si>
    <t>7205</t>
  </si>
  <si>
    <t>Kab. Klungkung</t>
  </si>
  <si>
    <t>7206</t>
  </si>
  <si>
    <t>Kab. Bangli</t>
  </si>
  <si>
    <t>7207</t>
  </si>
  <si>
    <t>Kab. Karangasem</t>
  </si>
  <si>
    <t>7208</t>
  </si>
  <si>
    <t>Kota Denpasar</t>
  </si>
  <si>
    <t>7291</t>
  </si>
  <si>
    <t>Provinsi Nusa Tenggara Timur</t>
  </si>
  <si>
    <t>Kab. Kupang</t>
  </si>
  <si>
    <t>7401</t>
  </si>
  <si>
    <t>Kab. Timor-Tengah Selatan</t>
  </si>
  <si>
    <t>7402</t>
  </si>
  <si>
    <t>Kab. Timor-Tengah Utara</t>
  </si>
  <si>
    <t>7403</t>
  </si>
  <si>
    <t>Kab. Belu</t>
  </si>
  <si>
    <t>7404</t>
  </si>
  <si>
    <t>Kab. Alor</t>
  </si>
  <si>
    <t>7405</t>
  </si>
  <si>
    <t>Kab. Flores Timur</t>
  </si>
  <si>
    <t>7406</t>
  </si>
  <si>
    <t>Kab. Sikka</t>
  </si>
  <si>
    <t>7407</t>
  </si>
  <si>
    <t>Kab. Ende</t>
  </si>
  <si>
    <t>7408</t>
  </si>
  <si>
    <t>Kab. Ngada</t>
  </si>
  <si>
    <t>7409</t>
  </si>
  <si>
    <t>Kab. Manggarai</t>
  </si>
  <si>
    <t>7410</t>
  </si>
  <si>
    <t>Kab. Sumba Timur</t>
  </si>
  <si>
    <t>7411</t>
  </si>
  <si>
    <t>Kab. Sumba Barat</t>
  </si>
  <si>
    <t>7412</t>
  </si>
  <si>
    <t>Kab. Lembata</t>
  </si>
  <si>
    <t>7413</t>
  </si>
  <si>
    <t>Kab. Rote Ndao</t>
  </si>
  <si>
    <t>7414</t>
  </si>
  <si>
    <t>Kab. Manggarai Barat</t>
  </si>
  <si>
    <t>7415</t>
  </si>
  <si>
    <t>Kab. Sumba Tengah</t>
  </si>
  <si>
    <t>7416</t>
  </si>
  <si>
    <t>Kab. Sumba Barat Daya</t>
  </si>
  <si>
    <t>7417</t>
  </si>
  <si>
    <t>Kab. Manggarai Timur</t>
  </si>
  <si>
    <t>7418</t>
  </si>
  <si>
    <t>Kab. Nagekeo</t>
  </si>
  <si>
    <t>7419</t>
  </si>
  <si>
    <t>Kab. Sabu Raijua</t>
  </si>
  <si>
    <t>7420</t>
  </si>
  <si>
    <t>Kab. Malaka</t>
  </si>
  <si>
    <t>7421</t>
  </si>
  <si>
    <t>Kota Kupang</t>
  </si>
  <si>
    <t>7491</t>
  </si>
  <si>
    <t>Provinsi Maluku</t>
  </si>
  <si>
    <t>Kab. Maluku Tengah</t>
  </si>
  <si>
    <t>8101</t>
  </si>
  <si>
    <t>Kab. Maluku Tenggara</t>
  </si>
  <si>
    <t>8102</t>
  </si>
  <si>
    <t>Kab. Maluku Tenggara Barat</t>
  </si>
  <si>
    <t>8103</t>
  </si>
  <si>
    <t>Kab. Buru</t>
  </si>
  <si>
    <t>8104</t>
  </si>
  <si>
    <t>Kab. Seram Bagian Barat</t>
  </si>
  <si>
    <t>8105</t>
  </si>
  <si>
    <t>Kab. Seram Bagian Timur</t>
  </si>
  <si>
    <t>8106</t>
  </si>
  <si>
    <t>Kab. Kepulauan Aru</t>
  </si>
  <si>
    <t>8107</t>
  </si>
  <si>
    <t>Kab. Maluku Barat Daya</t>
  </si>
  <si>
    <t>8108</t>
  </si>
  <si>
    <t>Kab. Buru Selatan</t>
  </si>
  <si>
    <t>8109</t>
  </si>
  <si>
    <t>Kota Ambon</t>
  </si>
  <si>
    <t>8191</t>
  </si>
  <si>
    <t>Kota Tual</t>
  </si>
  <si>
    <t>8192</t>
  </si>
  <si>
    <t>Provinsi Papua</t>
  </si>
  <si>
    <t>Kab. Jayapura</t>
  </si>
  <si>
    <t>8201</t>
  </si>
  <si>
    <t>Kab. Biak Numfor</t>
  </si>
  <si>
    <t>8202</t>
  </si>
  <si>
    <t>Kab. Kepulauan Yapen-Waropen</t>
  </si>
  <si>
    <t>8210</t>
  </si>
  <si>
    <t>Kab. Merauke</t>
  </si>
  <si>
    <t>8211</t>
  </si>
  <si>
    <t>Kab. Paniai</t>
  </si>
  <si>
    <t>8212</t>
  </si>
  <si>
    <t>Kab. Jayawijaya</t>
  </si>
  <si>
    <t>8213</t>
  </si>
  <si>
    <t>Kab. Nabire</t>
  </si>
  <si>
    <t>8214</t>
  </si>
  <si>
    <t>Kab. Mimika</t>
  </si>
  <si>
    <t>8215</t>
  </si>
  <si>
    <t>Kab. Puncak Jaya</t>
  </si>
  <si>
    <t>8216</t>
  </si>
  <si>
    <t>Kab. Sarmi</t>
  </si>
  <si>
    <t>8217</t>
  </si>
  <si>
    <t>Kab. Keerom</t>
  </si>
  <si>
    <t>8218</t>
  </si>
  <si>
    <t>Kab. Pegunungan Bintang</t>
  </si>
  <si>
    <t>8221</t>
  </si>
  <si>
    <t>Kab. Yahukimo</t>
  </si>
  <si>
    <t>8222</t>
  </si>
  <si>
    <t>Kab. Tolikara</t>
  </si>
  <si>
    <t>8223</t>
  </si>
  <si>
    <t>Kab. Waropen</t>
  </si>
  <si>
    <t>8224</t>
  </si>
  <si>
    <t>Kab. Boven Digoel</t>
  </si>
  <si>
    <t>8226</t>
  </si>
  <si>
    <t>Kab. Mappi</t>
  </si>
  <si>
    <t>8227</t>
  </si>
  <si>
    <t>Kab. Asmat</t>
  </si>
  <si>
    <t>8228</t>
  </si>
  <si>
    <t>Kab. Supiori</t>
  </si>
  <si>
    <t>8231</t>
  </si>
  <si>
    <t>Kab. Mamberamo Raya</t>
  </si>
  <si>
    <t>8232</t>
  </si>
  <si>
    <t>Kab. Dogiyai</t>
  </si>
  <si>
    <t>8233</t>
  </si>
  <si>
    <t>Kab. Lanny Jaya</t>
  </si>
  <si>
    <t>8234</t>
  </si>
  <si>
    <t>Kab. Mamberamo Tengah</t>
  </si>
  <si>
    <t>8235</t>
  </si>
  <si>
    <t>Kab. Nduga</t>
  </si>
  <si>
    <t>8236</t>
  </si>
  <si>
    <t>Kab. Yalimo</t>
  </si>
  <si>
    <t>Kab. Puncak</t>
  </si>
  <si>
    <t>Kab. Intan Jaya</t>
  </si>
  <si>
    <t>Kab. Deiya</t>
  </si>
  <si>
    <t>Kota Jayapura</t>
  </si>
  <si>
    <t>Provinsi Maluku Utara</t>
  </si>
  <si>
    <t>Kab. Halmahera Tengah</t>
  </si>
  <si>
    <t>Kab. Halmahera Utara</t>
  </si>
  <si>
    <t>Kab. Halmahera Timur</t>
  </si>
  <si>
    <t>Kab. Halmahera Barat</t>
  </si>
  <si>
    <t>Kab. Halmahera Selatan</t>
  </si>
  <si>
    <t>Kab. Kepulauan Sula</t>
  </si>
  <si>
    <t>Kab. Pulau Morotai</t>
  </si>
  <si>
    <t>Kab. Pulau Taliabu</t>
  </si>
  <si>
    <t>Kota Ternate</t>
  </si>
  <si>
    <t>Kota Tidore Kepulauan</t>
  </si>
  <si>
    <t>Provinsi Papua Barat</t>
  </si>
  <si>
    <t>Kab. Sorong</t>
  </si>
  <si>
    <t>Kab. Fak-Fak</t>
  </si>
  <si>
    <t>Kab. Manokwari</t>
  </si>
  <si>
    <t>Kab. Sorong Selatan</t>
  </si>
  <si>
    <t>Kab. Raja Ampat</t>
  </si>
  <si>
    <t>Kab. Kaimana</t>
  </si>
  <si>
    <t>Kab. Teluk Bintuni</t>
  </si>
  <si>
    <t>Kab. Teluk Wondama</t>
  </si>
  <si>
    <t>Kab. Tembrauw</t>
  </si>
  <si>
    <t>Kab. Maybrat</t>
  </si>
  <si>
    <t>Kab. Pegunungan Arfak</t>
  </si>
  <si>
    <t>Kab. Manokwari Selatan</t>
  </si>
  <si>
    <t>Kota Sorong</t>
  </si>
  <si>
    <t>Di Luar Indonesia</t>
  </si>
  <si>
    <t>030401</t>
  </si>
  <si>
    <t>Perusahaan Pergadaian Konvensional</t>
  </si>
  <si>
    <t>010201</t>
  </si>
  <si>
    <t>BPR Konvensional</t>
  </si>
  <si>
    <t>010202</t>
  </si>
  <si>
    <t>BPR Syariah</t>
  </si>
  <si>
    <t>020101</t>
  </si>
  <si>
    <t>Manajer Investasi</t>
  </si>
  <si>
    <t>020301</t>
  </si>
  <si>
    <t>Perantara Pedagang Efek yang Mengadministrasikan Rekening Efek Nasabah</t>
  </si>
  <si>
    <t>020302</t>
  </si>
  <si>
    <t>Perantara Pedagang Efek yang Tidak Mengadministrasikan Rekening Efek Nasabah</t>
  </si>
  <si>
    <t>021002</t>
  </si>
  <si>
    <t>Perusahaan Pemeringkat Efek</t>
  </si>
  <si>
    <t>021003</t>
  </si>
  <si>
    <t>Biro Administrasi Efek</t>
  </si>
  <si>
    <t>020102</t>
  </si>
  <si>
    <t>Manajer Investasi Syariah</t>
  </si>
  <si>
    <t>030416</t>
  </si>
  <si>
    <t>Perusahaan Penyelenggara Layanan Pinjam Meminjam Uang Berbasis Teknologi</t>
  </si>
  <si>
    <t>031201</t>
  </si>
  <si>
    <r>
      <rPr>
        <sz val="11"/>
        <color theme="1"/>
        <rFont val="Calibri"/>
        <family val="2"/>
      </rPr>
      <t xml:space="preserve">Asuransi Jiwa </t>
    </r>
    <r>
      <rPr>
        <sz val="11"/>
        <color rgb="FFFF0000"/>
        <rFont val="Calibri"/>
        <family val="2"/>
      </rPr>
      <t>Konvensional</t>
    </r>
  </si>
  <si>
    <t>031202</t>
  </si>
  <si>
    <r>
      <rPr>
        <sz val="11"/>
        <color theme="1"/>
        <rFont val="Calibri"/>
        <family val="2"/>
      </rPr>
      <t xml:space="preserve">Asuransi Umum </t>
    </r>
    <r>
      <rPr>
        <sz val="11"/>
        <color rgb="FFFF0000"/>
        <rFont val="Calibri"/>
        <family val="2"/>
      </rPr>
      <t>Konvensional</t>
    </r>
  </si>
  <si>
    <t>031204</t>
  </si>
  <si>
    <t>Asuransi Jiwa Syariah</t>
  </si>
  <si>
    <t>031205</t>
  </si>
  <si>
    <t>Asuransi Umum Syariah</t>
  </si>
  <si>
    <t>030488</t>
  </si>
  <si>
    <t>Bank Wakaf Mikro</t>
  </si>
  <si>
    <t>030402</t>
  </si>
  <si>
    <t>Perusahaan Pergadaian Syariah</t>
  </si>
  <si>
    <t>030417</t>
  </si>
  <si>
    <t>Perusahaan Penyelenggara Layanan Pinjam Meminjam Uang Berbasis Teknologi Syariah</t>
  </si>
  <si>
    <t>030485</t>
  </si>
  <si>
    <t>Lembaga Keuangan Mikro Konvensional</t>
  </si>
  <si>
    <t>030486</t>
  </si>
  <si>
    <t>Lembaga Keuangan Mikro Syariah</t>
  </si>
  <si>
    <t>031401</t>
  </si>
  <si>
    <t>Perusahaan Pembiayaan Konvensional</t>
  </si>
  <si>
    <t>031402</t>
  </si>
  <si>
    <t>Perusahaan Pembiayaan Syariah</t>
  </si>
  <si>
    <t>031203</t>
  </si>
  <si>
    <t>Reasuransi Konvensional</t>
  </si>
  <si>
    <t>031206</t>
  </si>
  <si>
    <t>Reasuransi Syariah</t>
  </si>
  <si>
    <t>030403</t>
  </si>
  <si>
    <t>Perusahaan Penjaminan Konvensional</t>
  </si>
  <si>
    <t>030404</t>
  </si>
  <si>
    <t>Perusahaan Penjaminan Syariah</t>
  </si>
  <si>
    <t>031403</t>
  </si>
  <si>
    <r>
      <rPr>
        <sz val="11"/>
        <color rgb="FFFF0000"/>
        <rFont val="Calibri"/>
        <family val="2"/>
      </rPr>
      <t xml:space="preserve">Perusahaan </t>
    </r>
    <r>
      <rPr>
        <sz val="11"/>
        <color theme="1"/>
        <rFont val="Calibri"/>
        <family val="2"/>
      </rPr>
      <t>Modal Ventura Konvensional</t>
    </r>
  </si>
  <si>
    <t>031404</t>
  </si>
  <si>
    <r>
      <rPr>
        <sz val="11"/>
        <color rgb="FFFF0000"/>
        <rFont val="Calibri"/>
        <family val="2"/>
      </rPr>
      <t xml:space="preserve">Perusahaan </t>
    </r>
    <r>
      <rPr>
        <sz val="11"/>
        <color theme="1"/>
        <rFont val="Calibri"/>
        <family val="2"/>
      </rPr>
      <t>Modal Ventura Syariah</t>
    </r>
  </si>
  <si>
    <t>031405</t>
  </si>
  <si>
    <t>Perusahaan Pembiayaan Infrastruktur</t>
  </si>
  <si>
    <t>031302</t>
  </si>
  <si>
    <t>Dana Pensiun Lembaga Keuangan Konvensional</t>
  </si>
  <si>
    <t>031304</t>
  </si>
  <si>
    <t>Dana Pensiun Lembaga Keuangan Syariah</t>
  </si>
  <si>
    <t>031207</t>
  </si>
  <si>
    <t>Pialang Asuransi</t>
  </si>
  <si>
    <t>031209</t>
  </si>
  <si>
    <t>Pialang Reasuransi</t>
  </si>
  <si>
    <t>031210</t>
  </si>
  <si>
    <t>Penilai Kerugian Asuransi</t>
  </si>
  <si>
    <t>Alamat Domisili</t>
  </si>
  <si>
    <t>Internal/Eksternal</t>
  </si>
  <si>
    <t>Aktivitas Terkait Fraud</t>
  </si>
  <si>
    <t>Status Penanganan</t>
  </si>
  <si>
    <t xml:space="preserve">Status Penanganan </t>
  </si>
  <si>
    <t>Internal / Eksternal</t>
  </si>
  <si>
    <t>Periode Pelaporan (Berkala) /
Tanggal Pelaporan (Insidental)</t>
  </si>
  <si>
    <t>Template ini hanya digunakan sebagai alat bantu pelaporan, PUJK diperbolehkan menggunakan alat bantu lainnya dengan mengacu pada aturan Struktur Data.</t>
  </si>
  <si>
    <r>
      <t xml:space="preserve">2. PUJK wajib melakukan deklarasi laporan insidentil sebelum mengirimkan </t>
    </r>
    <r>
      <rPr>
        <b/>
        <sz val="11"/>
        <color theme="1"/>
        <rFont val="Calibri"/>
        <family val="2"/>
        <scheme val="minor"/>
      </rPr>
      <t>File Kirim</t>
    </r>
    <r>
      <rPr>
        <sz val="11"/>
        <color theme="1"/>
        <rFont val="Calibri"/>
        <family val="2"/>
        <scheme val="minor"/>
      </rPr>
      <t xml:space="preserve"> melalui website APOLO pada menu </t>
    </r>
  </si>
  <si>
    <t>Isian berupa sandi referensi</t>
  </si>
  <si>
    <t>020303</t>
  </si>
  <si>
    <t>Penjamin Emisi Efek</t>
  </si>
  <si>
    <t>?</t>
  </si>
  <si>
    <t>Perusahaan Efek</t>
  </si>
  <si>
    <t>Penasihat Investasi</t>
  </si>
  <si>
    <t>Penyelenggara Layanan Urun Dana</t>
  </si>
  <si>
    <t>ITSK AKD AK</t>
  </si>
  <si>
    <t>ITSK non AKD AK</t>
  </si>
  <si>
    <t>030491</t>
  </si>
  <si>
    <t>LJK Lainnya</t>
  </si>
  <si>
    <t>Lembaga Pembiayaan Ekspor Indonesia</t>
  </si>
  <si>
    <t>Perusahaan Pembiayaan Sekunder Perumahan</t>
  </si>
  <si>
    <t>Perusahan Penjaminan Ulang Konvensional</t>
  </si>
  <si>
    <t>Perusahaan Penjaminan Ulang Syariah</t>
  </si>
  <si>
    <t>PT. Sarana Multi Infrastruktur</t>
  </si>
  <si>
    <t>PT. Sarana Multigriya Finansial</t>
  </si>
  <si>
    <t>BP. Tapera</t>
  </si>
  <si>
    <t>PT. PNM</t>
  </si>
  <si>
    <t>PT. Indonesia Infrastructure Finance</t>
  </si>
  <si>
    <t>010101 (Bank Umum Konvensional)</t>
  </si>
  <si>
    <t>Sandi LJK</t>
  </si>
  <si>
    <r>
      <t>2. Isi kolom "</t>
    </r>
    <r>
      <rPr>
        <b/>
        <sz val="12"/>
        <color theme="1"/>
        <rFont val="Calibri"/>
        <family val="2"/>
        <scheme val="minor"/>
      </rPr>
      <t>Sandi LJK</t>
    </r>
    <r>
      <rPr>
        <sz val="12"/>
        <color theme="1"/>
        <rFont val="Calibri"/>
        <family val="2"/>
        <scheme val="minor"/>
      </rPr>
      <t>" pada cell A2.</t>
    </r>
  </si>
  <si>
    <t>117</t>
  </si>
  <si>
    <t>001 (LJK )</t>
  </si>
  <si>
    <t>1</t>
  </si>
  <si>
    <t>2</t>
  </si>
  <si>
    <t>3</t>
  </si>
  <si>
    <t>4</t>
  </si>
  <si>
    <t>302 (Perkreditan/pembiayaan)</t>
  </si>
  <si>
    <t>08 (Kantor Cabang Pembantu (Dalam Negeri) )</t>
  </si>
  <si>
    <t>101 (Sumber Daya Manusia – Integritas )</t>
  </si>
  <si>
    <t>201 (Sistem Pengendalian internal – Pengendalian internal Pimpinan )</t>
  </si>
  <si>
    <t>05 (Pemutusan hubungan kerja )</t>
  </si>
  <si>
    <t>001 (Internal)</t>
  </si>
  <si>
    <t>P (Perempuan)</t>
  </si>
  <si>
    <t>001 (KTP (Nomor Induk Kependudukan))</t>
  </si>
  <si>
    <t>001 (Pelaku Utama)</t>
  </si>
  <si>
    <t>019 (Pegawai non Pejabat)</t>
  </si>
  <si>
    <t>5</t>
  </si>
  <si>
    <t>6</t>
  </si>
  <si>
    <t>7</t>
  </si>
  <si>
    <t>L (Laki-Laki)</t>
  </si>
  <si>
    <t>018 (Pejabat non Pejabat Eksekutif)</t>
  </si>
  <si>
    <t>002 (Selesai diproses internal LJK)</t>
  </si>
  <si>
    <t>0101000000</t>
  </si>
  <si>
    <t>8</t>
  </si>
  <si>
    <t>9</t>
  </si>
  <si>
    <t>10</t>
  </si>
  <si>
    <t>11</t>
  </si>
  <si>
    <t>12</t>
  </si>
  <si>
    <t>13</t>
  </si>
  <si>
    <t>501 (Penipuan)</t>
  </si>
  <si>
    <t>303 (Penggunaan identitas dan data orang, pihak lain, atau konsumen)</t>
  </si>
  <si>
    <t>01 (Kantor Pusat Operasional )</t>
  </si>
  <si>
    <t>05 (Kantor Cabang (Dalam Negeri) )</t>
  </si>
  <si>
    <t>KC Tembung</t>
  </si>
  <si>
    <t>Kantor Cabang Stabat</t>
  </si>
  <si>
    <t>20240927</t>
  </si>
  <si>
    <t>504 (Eksternal – Kecurangan Pihak Lain)</t>
  </si>
  <si>
    <t>102 (Sumber Daya Manusia – Kompetensi )</t>
  </si>
  <si>
    <t>10 (Ganti rugi )</t>
  </si>
  <si>
    <t>Tidak Diketahui</t>
  </si>
  <si>
    <t>009 (Tidak Diketahui )</t>
  </si>
  <si>
    <t>0</t>
  </si>
  <si>
    <t>19000101</t>
  </si>
  <si>
    <t>Medan</t>
  </si>
  <si>
    <t>001 (Proses internal LJK)</t>
  </si>
  <si>
    <t>007 (Pejabat Eksekutif)</t>
  </si>
  <si>
    <t>003 (Pihak yang tidak berhubungan langsung dengan LJK )</t>
  </si>
  <si>
    <t>200 (Sistem pengendalian internal)</t>
  </si>
  <si>
    <t>002 (Eksternal)</t>
  </si>
  <si>
    <t>On Progress</t>
  </si>
  <si>
    <t>Tahun 2026</t>
  </si>
  <si>
    <t>AS22025000001</t>
  </si>
  <si>
    <t>AS22025000002</t>
  </si>
  <si>
    <t>AS22025000003</t>
  </si>
  <si>
    <t>AS22025000004</t>
  </si>
  <si>
    <t>AS22025000005</t>
  </si>
  <si>
    <t>CS22025000001</t>
  </si>
  <si>
    <t>AS22025000006</t>
  </si>
  <si>
    <t>BS22025000001</t>
  </si>
  <si>
    <t>AS (internal (Berdampak Signifikan))</t>
  </si>
  <si>
    <t>CS (internal dan eksternal (Berdampak Signifikan))</t>
  </si>
  <si>
    <t>BS (eksternal (Berdampak Signifikan))</t>
  </si>
  <si>
    <t>401 (Kecurangan laporan keuangan)</t>
  </si>
  <si>
    <t>306 (Pembukuan dan penyajian laporan keuangan )</t>
  </si>
  <si>
    <t>Pemberian kredit yang tidak mengedepankan prinsip prudential banking dan penyalahgunaan dana tujuan kredit sehingga menimbulkan kerugian Bank</t>
  </si>
  <si>
    <t>Penggunaan sebahagian/seluruh dana kredit (topengan/tempilan), double financing, melakukan rekayasa pada analisa kredit dengan usaha fiktif serta memperoleh fee atas realisasi kredit</t>
  </si>
  <si>
    <t>Merealisasi dengan melakukan rekayasa pada analisa kredit usaha fiktif, merealisasi kredit tidak sesuai dengan tujuan dan kebutuhan kredit serta memperoleh fee atas realisasi kredit</t>
  </si>
  <si>
    <t>Penggunaan sebahagian/seluruh dana kredit (topengan/tempilan), melakukan rekayasa pada analisa kredit dengan usaha fiktif serta memperoleh fee atas realisasi kredit</t>
  </si>
  <si>
    <t>Melakukan tindakan kecurangan berupa mark up nilai pengadaan barang/jasa serta membebankan biaya konsumsi pribadi dengan menggunakan biaya promosi penjualan</t>
  </si>
  <si>
    <t>Melakukan pembebanan biaya promosi fiktif, melakukan mark up dan penyalahgunaan wewenang (conflict of interset) untuk mendapatkan keuntungan pribadi.</t>
  </si>
  <si>
    <t>KCP Sei Sikambing</t>
  </si>
  <si>
    <t>KCP Pasar Diponegoro</t>
  </si>
  <si>
    <t>Divisi Tresuri</t>
  </si>
  <si>
    <t>Kantor Cabang Pembantu Serbelawan</t>
  </si>
  <si>
    <t>Kantor Cabang Medan Iskandar Muda</t>
  </si>
  <si>
    <t>Kantor Cabang Syariah Medan Ringroad</t>
  </si>
  <si>
    <t>20230418</t>
  </si>
  <si>
    <t>20250602</t>
  </si>
  <si>
    <t>20250718</t>
  </si>
  <si>
    <t>20210210</t>
  </si>
  <si>
    <t>20231120</t>
  </si>
  <si>
    <t>20250812</t>
  </si>
  <si>
    <t>20241126</t>
  </si>
  <si>
    <t>20240430</t>
  </si>
  <si>
    <t>20250214</t>
  </si>
  <si>
    <t>20210506</t>
  </si>
  <si>
    <t>20250528</t>
  </si>
  <si>
    <t>20251022</t>
  </si>
  <si>
    <t>20230919</t>
  </si>
  <si>
    <t>20250325</t>
  </si>
  <si>
    <t>20251028</t>
  </si>
  <si>
    <t>20230313</t>
  </si>
  <si>
    <t>20250731</t>
  </si>
  <si>
    <t>20251111</t>
  </si>
  <si>
    <t>20250624</t>
  </si>
  <si>
    <t>20251006</t>
  </si>
  <si>
    <t>20251223</t>
  </si>
  <si>
    <t>2025-12-31</t>
  </si>
  <si>
    <t>Wije Kumar</t>
  </si>
  <si>
    <t>Yudi Prabowo</t>
  </si>
  <si>
    <t>Deddy Heriyanto</t>
  </si>
  <si>
    <t>Mahyuni Miraza</t>
  </si>
  <si>
    <t>Fuzi Syahputra</t>
  </si>
  <si>
    <t>Baginda Ihutan Aditonggo Siregar</t>
  </si>
  <si>
    <t>Hendra Wijaya</t>
  </si>
  <si>
    <t>Suaibatul Aslamiyah Simatupang</t>
  </si>
  <si>
    <t>Khairul Lizan</t>
  </si>
  <si>
    <t>Rovi Maulia</t>
  </si>
  <si>
    <t>Rinaldi Lubis</t>
  </si>
  <si>
    <t>Harry Wibowo</t>
  </si>
  <si>
    <t>1205032505890007</t>
  </si>
  <si>
    <t>1271120308860002</t>
  </si>
  <si>
    <t>1271021409830001</t>
  </si>
  <si>
    <t>1207265006740010</t>
  </si>
  <si>
    <t>1209201202850004</t>
  </si>
  <si>
    <t>1271170508880004</t>
  </si>
  <si>
    <t>1103130501820001</t>
  </si>
  <si>
    <t>1271195011790003</t>
  </si>
  <si>
    <t>1207232906970008</t>
  </si>
  <si>
    <t>Jl. D.I Panjaitan Lingk II Kel/Desa Sidomulyo Kecamatan Stabat Kabupaten Langkat</t>
  </si>
  <si>
    <t>Bela Rakyat</t>
  </si>
  <si>
    <t>19890525</t>
  </si>
  <si>
    <t>Komp Marelan Indah Lingk 13 Kelurahan Rengas Pulau Kecamatan Medan Marelan Kota Medan</t>
  </si>
  <si>
    <t>19860803</t>
  </si>
  <si>
    <t>Jl Merpati LK IX Kelurahan Sei Sikambing B Kecamatan Medan Sunggal Kota Medan</t>
  </si>
  <si>
    <t>19830914</t>
  </si>
  <si>
    <t>Jl Arafah No 67 Komp Al Barokah Kel/Desa Sampali Kecamatan Percut Sei Tuan</t>
  </si>
  <si>
    <t>19740610</t>
  </si>
  <si>
    <t>Jl Syech Ismail I Gg Janagori Lk VI RT/RW 001/001 Kel/Desa Teladan Kecamatan Kota Kisaran Timur</t>
  </si>
  <si>
    <t>Jl Perintis Kemerdekaan No. 15B Kel. Serbelawan Kec. Dolok Batunanggar Kab. Simalungun</t>
  </si>
  <si>
    <t>Sei Silau</t>
  </si>
  <si>
    <t>19850212</t>
  </si>
  <si>
    <t>Komp Villa Palem Kencana VI Blok K11 Kel/Desa Mulio Rejo Kecamatan Sunggal</t>
  </si>
  <si>
    <t>Jalan Rakutta Sembiring Gang Kenali Kel Naga Pita Kec Siantar Martoba Kota Pematang Siantar</t>
  </si>
  <si>
    <t>19880805</t>
  </si>
  <si>
    <t>Huta V Pulo Sarana Kel/Desa Bahal Batu Kecamatan Huta Bayu Raja</t>
  </si>
  <si>
    <t>Lubuk Cina</t>
  </si>
  <si>
    <t>19820105</t>
  </si>
  <si>
    <t>Komplek Green House Jl Merpati No.85 C Kelurahan Sei Sikambing B Kecamatan Medan Sunggal Kota Medan Sumatera Utara</t>
  </si>
  <si>
    <t>Komplek Asoka Raya Residence Blok E 76/77 Jalan Bunga Asoka Kelurahan Asam Kumbang Kecamatan Medan Selayang Kota Medan Sumatera Utara</t>
  </si>
  <si>
    <t>19791110</t>
  </si>
  <si>
    <t>Dusun XII Jl M Suripno Kel/Desa Purwodadi Kecamatan Sunggal Kabupaten Deli Serdang</t>
  </si>
  <si>
    <t>Purwodadi</t>
  </si>
  <si>
    <t>19970629</t>
  </si>
  <si>
    <t>Account Officer KC Stabat</t>
  </si>
  <si>
    <t>Account Officer KC Tembung</t>
  </si>
  <si>
    <t>Account Officer KCP Sei Sikambing</t>
  </si>
  <si>
    <t>Account Officer KCP Pasar Diponegoro</t>
  </si>
  <si>
    <t>Pemimpin Bidang Institusi Keuangan</t>
  </si>
  <si>
    <t>Pemimpin KCP Serbelawan</t>
  </si>
  <si>
    <t>Account Officer KCP Serbelawan</t>
  </si>
  <si>
    <t>Pemimpin Cabang Kantor Cabang Iskandar Muda</t>
  </si>
  <si>
    <t>Account Officer KCP Brandan (Non Job)</t>
  </si>
  <si>
    <t>Account Officer KCP Bandar Pasir Mandoge</t>
  </si>
  <si>
    <t>Diberlakukan tindakan administratif (Pegawai Non Aktif)</t>
  </si>
  <si>
    <t>001 (Konsumen )</t>
  </si>
  <si>
    <t>PHK dikarenakan mangkir</t>
  </si>
  <si>
    <t>Kajian untuk dilaporkan ke APH</t>
  </si>
  <si>
    <t>Telah dijatuhkan Sanksi PHK</t>
  </si>
  <si>
    <t>D:\2 0 2 5\Apollo Report\2025\2025-SEMESTER 2</t>
  </si>
  <si>
    <t xml:space="preserve">Tindakan kecurangan berupa Memutus/memberikan kredit tidak dengan prinsip kehati-hatian sehingga sebahagian dana kredit digunakan oleh pihak lain (agen), usaha yang dibiayai merupakan usaha fiktif serta menerima keuntungan pribadi berupa fee dari agen serta penggunaan sebahagian dana realisasi kredit dan memberikan fee atas realisasi kredit kepada petugas bank. </t>
  </si>
  <si>
    <t>Orang yang memiliki niat jahat dengan membuat skenario penipuan pada KCSy Medan Ringroad dan menerima aliran dana realisasi kredit, Orang yang membuat skenario penipuan pada KCSy Medan Ringroad dan menerima aliran dana realisasi kredit, Orang yang datang ke KCSy Medan Ringroad berperan sebagai Antonius Simarmata, Orang yang datang ke KCSy Medan Ringroad berperan sebagai ahli waris dari Antonius Simarmata</t>
  </si>
  <si>
    <t>Melakukan perbaikan ketentuan dan penguatan pengendalian intern yaitu berupa evaluasi ketentuan Pelaksanaan Pengadaan Barang dan Jasa agar dapat mengatur perihal Flowchart pengadaan mulai dari usulan hingga proses dokumentasi pengadaan barang/jasa, dan Tools/register yang dapat digunakan dalam memonitoring persediaan barang souvenir yang masuk dan keluar sebagai kontrol dalam pengadaan barang/jasa</t>
  </si>
  <si>
    <t>Melakukan penguatan dengan pelaksanaan program pencegahan fraud</t>
  </si>
  <si>
    <t>400 (Penerapan Strategi Anti Fraud )</t>
  </si>
  <si>
    <t>Melakukan perbaikan ketentuan dan penguatan pengendalian intern berupa penggunaan alat verifikasi KTP elektronik (E-KTP Reader) untuk mendeteksi keaslian dari KTP yang dibawa oleh calon nasabah, menggunakan alat perekem wajah (foto) yang tersimpan kedalam CIF nasabah Ketika melakukan pembukaan rekening dan pembukaan kartu ATM atau mobile banking, menggunakan mesin Electronic Data Capture (EDC) dalam hal kegiatan transaksi nasabah yang mana otorisasi dilakukan sendiri oleh nasabah, meningkatkan kompetensi dan awareness petugas frontliner yaitu customer service dalam hal pembukaan rekening, memberikan akses dengan kewenangan terbatas kepada petugas analis atas fasilitas kredit/pembiayaan yang sedang dinikmati oleh calon debitur serta melakukan reposisi kamera CCTV sehingga dapat memperoleh gambar seluruh wajah pelaku transaksi dan menjangkau seluruh area luar kantor sehingga mempermudah identifikasi apabila terdapat permasalahn hukum di kemudian hari</t>
  </si>
  <si>
    <t>Divisi Ritel agar memperkuat pengendalian intern berupa supervisi dan monitoring terhadap kredit yang menunggak dibawah 1 (satu) tahun serta pertumbuhan pemberian kredit di unit kantor yang dinilai tidak wajar baik secara keseluruhan ataupun berdasarkan skim kredit serta menghimbau kepada seluruh satuan kerja terkait realisasi KUR untuk melakukan supervisi dan monitoring terhadap kebenaran penggunaan dana realisasi kredit.</t>
  </si>
  <si>
    <t>Melakukan penguatan dengan pelaksanaan program pencegahan dan pendeteksian fraud</t>
  </si>
  <si>
    <t>Melakukan perbaikan ketentuan,system dan penguatan pengendalian intern berupa pemantauan secara ketat atas rekening penampungan penyedia barang dan jasa yang menjadi vendor bagi Bank Sumut, mengupayakan pembayaran transaksi melalui media transfer dana atau Qris, melakukan dual control terhadap pelaksanaan pembayaran biaya dan pembuatan nota yang dipastikan dilakukan secara overbooking pada rekening vendor yang telah ditentukan, menerapkan system pengawasan silang dan supervisi manajemen untuk setiap keputusan dalam proses penyediaan barang promosi berjalan transparan dan sesuai ketentuan yang berlaku serta melaporkan secara rutin kepada Divisi terkait setiap bulannya penggunaan biaya promosi penjualan agar dapat dilakukan pemantauan terhadap tujuan penggunaan biaya dan menghimbau kepada seluruh satuan kerja terkait pembebanan biaya promosi pada unit kerja untuk tetap dilakukan supervisi dan monitoring terhadapa penggunaan biaya promosi</t>
  </si>
  <si>
    <t>Melakukan perbaikan ketentuan dan penguatan pengendalian intern berupa penggunaan alat verifikasi KTP elektronik (E-KTP Reader) untuk mendeteksi keaslian dari KTP yang dibawa oleh calon nasabah, menggunakan alat perekem wajah (foto) yang tersimpan kedalam CIF nasabah Ketika melakukan pembukaan rekening dan pembukaan kartu ATM atau mobile banking, menggunakan mesin Electronic Data Capture (EDC) dalam hal kegiatan transaksi nasabah yang mana otorisasi dilakukan sendiri oleh nasabah, meningkatkan kompetensi dan awareness petugas frontliner yaitu customer service dalam hal pembukaan rekening, memberikan akses dengan kewenangan terbatas kepada petugas analis atas fasilitas kredit/pembiayaan yang sedang dinikmati oleh calon debitur serta melakukan reposisi kamera CCTV sehingga dapat memperoleh gambar seluruh wajah pelaku transaksi dan menjangkau seluruh area luar kantor sehingga mempermudah identifikasi apabila terdapat permasalahan hukum di kemudian hari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</si>
</sst>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_-;\-* #,##0_-;_-* &quot;-&quot;??_-;_-@_-"/>
  </numFmts>
  <fonts count="25" x14ac:knownFonts="1">
    <font>
      <sz val="11"/>
      <color theme="1"/>
      <name val="Calibri"/>
      <family val="2"/>
      <scheme val="minor"/>
    </font>
    <font>
      <b/>
      <sz val="11"/>
      <color theme="1"/>
      <name val="Calibri"/>
      <family val="2"/>
      <scheme val="minor"/>
    </font>
    <font>
      <b/>
      <sz val="14"/>
      <name val="Calibri"/>
      <family val="2"/>
      <scheme val="minor"/>
    </font>
    <font>
      <sz val="12"/>
      <color theme="1"/>
      <name val="Calibri"/>
      <family val="2"/>
      <scheme val="minor"/>
    </font>
    <font>
      <b/>
      <sz val="12"/>
      <color rgb="FFFF0000"/>
      <name val="Calibri"/>
      <family val="2"/>
      <scheme val="minor"/>
    </font>
    <font>
      <b/>
      <sz val="16"/>
      <color rgb="FFFF0000"/>
      <name val="Calibri"/>
      <family val="2"/>
      <scheme val="minor"/>
    </font>
    <font>
      <b/>
      <sz val="12"/>
      <color theme="1"/>
      <name val="Calibri"/>
      <family val="2"/>
      <scheme val="minor"/>
    </font>
    <font>
      <sz val="12"/>
      <color theme="1"/>
      <name val="Calibri"/>
      <family val="2"/>
    </font>
    <font>
      <sz val="11"/>
      <color theme="1"/>
      <name val="Calibri"/>
      <family val="2"/>
      <charset val="1"/>
      <scheme val="minor"/>
    </font>
    <font>
      <sz val="11"/>
      <name val="Calibri"/>
      <family val="2"/>
      <scheme val="minor"/>
    </font>
    <font>
      <b/>
      <sz val="12"/>
      <color theme="0"/>
      <name val="Calibri"/>
      <family val="2"/>
      <scheme val="minor"/>
    </font>
    <font>
      <u/>
      <sz val="11"/>
      <color theme="10"/>
      <name val="Calibri"/>
      <family val="2"/>
      <scheme val="minor"/>
    </font>
    <font>
      <sz val="11"/>
      <color rgb="FF000000"/>
      <name val="Calibri"/>
      <family val="2"/>
    </font>
    <font>
      <sz val="12"/>
      <name val="Calibri"/>
      <family val="2"/>
      <scheme val="minor"/>
    </font>
    <font>
      <b/>
      <sz val="11"/>
      <color theme="0"/>
      <name val="Calibri"/>
      <family val="2"/>
      <scheme val="minor"/>
    </font>
    <font>
      <b/>
      <sz val="16"/>
      <color theme="1"/>
      <name val="Calibri"/>
      <family val="2"/>
      <scheme val="minor"/>
    </font>
    <font>
      <b/>
      <sz val="14"/>
      <color theme="1"/>
      <name val="Calibri"/>
      <family val="2"/>
      <scheme val="minor"/>
    </font>
    <font>
      <b/>
      <sz val="12"/>
      <color rgb="FFFFFFFF"/>
      <name val="Calibri"/>
      <family val="2"/>
      <scheme val="minor"/>
    </font>
    <font>
      <sz val="11"/>
      <color rgb="FF000000"/>
      <name val="Calibri"/>
      <family val="2"/>
      <scheme val="minor"/>
    </font>
    <font>
      <sz val="11"/>
      <name val="Calibri"/>
      <family val="2"/>
    </font>
    <font>
      <b/>
      <sz val="14"/>
      <color rgb="FF000000"/>
      <name val="Calibri"/>
      <family val="2"/>
    </font>
    <font>
      <sz val="11"/>
      <color theme="1"/>
      <name val="Calibri"/>
      <family val="2"/>
    </font>
    <font>
      <sz val="11"/>
      <color rgb="FFFF0000"/>
      <name val="Calibri"/>
      <family val="2"/>
    </font>
    <font>
      <sz val="11"/>
      <color theme="1"/>
      <name val="Calibri"/>
      <family val="2"/>
      <scheme val="minor"/>
    </font>
    <font>
      <sz val="9"/>
      <color theme="1"/>
      <name val="Calibri"/>
      <family val="2"/>
      <charset val="1"/>
      <scheme val="minor"/>
    </font>
  </fonts>
  <fills count="10">
    <fill>
      <patternFill patternType="none"/>
    </fill>
    <fill>
      <patternFill patternType="gray125"/>
    </fill>
    <fill>
      <patternFill patternType="solid">
        <fgColor theme="4" tint="0.3999755851924192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rgb="FF000000"/>
      </right>
      <top/>
      <bottom style="thin">
        <color rgb="FF000000"/>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s>
  <cellStyleXfs count="8">
    <xf numFmtId="0" fontId="0" fillId="0" borderId="0"/>
    <xf numFmtId="0" fontId="8" fillId="0" borderId="0"/>
    <xf numFmtId="0" fontId="11" fillId="0" borderId="0" applyNumberFormat="0" applyFill="0" applyBorder="0" applyAlignment="0" applyProtection="0"/>
    <xf numFmtId="0" fontId="8" fillId="0" borderId="0"/>
    <xf numFmtId="0" fontId="11" fillId="0" borderId="0" applyNumberFormat="0" applyFill="0" applyBorder="0" applyAlignment="0" applyProtection="0"/>
    <xf numFmtId="43" fontId="23" fillId="0" borderId="0" applyFont="0" applyFill="0" applyBorder="0" applyAlignment="0" applyProtection="0"/>
    <xf numFmtId="9" fontId="23" fillId="0" borderId="0" applyFont="0" applyFill="0" applyBorder="0" applyAlignment="0" applyProtection="0"/>
    <xf numFmtId="43" fontId="8" fillId="0" borderId="0" applyFont="0" applyFill="0" applyBorder="0" applyAlignment="0" applyProtection="0"/>
  </cellStyleXfs>
  <cellXfs count="123">
    <xf numFmtId="0" fontId="0" fillId="0" borderId="0" xfId="0"/>
    <xf numFmtId="0" fontId="0" fillId="3" borderId="3" xfId="0" applyFill="1" applyBorder="1"/>
    <xf numFmtId="49" fontId="3" fillId="0" borderId="1" xfId="0" applyNumberFormat="1" applyFont="1" applyBorder="1" applyAlignment="1">
      <alignment horizontal="center" vertical="center"/>
    </xf>
    <xf numFmtId="0" fontId="0" fillId="0" borderId="0" xfId="0" applyAlignment="1">
      <alignment horizontal="center" vertical="center"/>
    </xf>
    <xf numFmtId="0" fontId="1" fillId="0" borderId="0" xfId="0" applyFont="1"/>
    <xf numFmtId="0" fontId="4" fillId="0" borderId="0" xfId="0" applyFont="1"/>
    <xf numFmtId="0" fontId="1" fillId="0" borderId="0" xfId="0" applyFont="1" applyAlignment="1">
      <alignment vertical="top"/>
    </xf>
    <xf numFmtId="0" fontId="0" fillId="3" borderId="7" xfId="0" applyFill="1" applyBorder="1" applyAlignment="1">
      <alignment horizontal="right"/>
    </xf>
    <xf numFmtId="0" fontId="0" fillId="3" borderId="8" xfId="0" applyFill="1" applyBorder="1"/>
    <xf numFmtId="0" fontId="0" fillId="3" borderId="9" xfId="0" applyFill="1" applyBorder="1"/>
    <xf numFmtId="0" fontId="0" fillId="3" borderId="10" xfId="0" applyFill="1" applyBorder="1"/>
    <xf numFmtId="0" fontId="3" fillId="0" borderId="2" xfId="0" applyFont="1" applyBorder="1" applyAlignment="1">
      <alignment horizontal="center" vertical="center"/>
    </xf>
    <xf numFmtId="0" fontId="5" fillId="0" borderId="0" xfId="0" applyFont="1"/>
    <xf numFmtId="0" fontId="3" fillId="0" borderId="0" xfId="0" applyFont="1"/>
    <xf numFmtId="0" fontId="3" fillId="0" borderId="0" xfId="0" applyFont="1" applyAlignment="1">
      <alignment vertical="center"/>
    </xf>
    <xf numFmtId="0" fontId="0" fillId="0" borderId="0" xfId="0" applyAlignment="1">
      <alignment vertical="center" wrapText="1"/>
    </xf>
    <xf numFmtId="49" fontId="3" fillId="0" borderId="6" xfId="0" applyNumberFormat="1" applyFont="1" applyBorder="1" applyAlignment="1">
      <alignment horizontal="center" vertical="center"/>
    </xf>
    <xf numFmtId="0" fontId="0" fillId="3" borderId="0" xfId="0" applyFill="1"/>
    <xf numFmtId="0" fontId="0" fillId="0" borderId="0" xfId="0" applyAlignment="1">
      <alignment vertical="center"/>
    </xf>
    <xf numFmtId="49" fontId="0" fillId="0" borderId="0" xfId="0" applyNumberFormat="1" applyAlignment="1">
      <alignment horizontal="center" vertical="center"/>
    </xf>
    <xf numFmtId="9" fontId="0" fillId="0" borderId="0" xfId="0" applyNumberFormat="1"/>
    <xf numFmtId="0" fontId="0" fillId="0" borderId="0" xfId="0" applyAlignment="1">
      <alignment wrapText="1"/>
    </xf>
    <xf numFmtId="0" fontId="14" fillId="4" borderId="1" xfId="0" applyFont="1" applyFill="1" applyBorder="1" applyAlignment="1">
      <alignment horizontal="center" vertical="center" wrapText="1"/>
    </xf>
    <xf numFmtId="0" fontId="0" fillId="0" borderId="1" xfId="0" applyBorder="1" applyAlignment="1">
      <alignment wrapText="1"/>
    </xf>
    <xf numFmtId="0" fontId="0" fillId="0" borderId="0" xfId="0" applyAlignment="1">
      <alignment horizontal="left" vertical="center"/>
    </xf>
    <xf numFmtId="49" fontId="3" fillId="0" borderId="2" xfId="0" applyNumberFormat="1" applyFont="1" applyBorder="1" applyAlignment="1">
      <alignment horizontal="center" vertical="center"/>
    </xf>
    <xf numFmtId="49" fontId="1" fillId="5" borderId="1" xfId="0" applyNumberFormat="1" applyFont="1" applyFill="1" applyBorder="1" applyAlignment="1">
      <alignment horizontal="center" vertical="center"/>
    </xf>
    <xf numFmtId="49" fontId="0" fillId="0" borderId="0" xfId="0" applyNumberFormat="1" applyAlignment="1">
      <alignment vertical="center"/>
    </xf>
    <xf numFmtId="49" fontId="3" fillId="0" borderId="0" xfId="0" applyNumberFormat="1" applyFont="1" applyAlignment="1">
      <alignment vertical="center"/>
    </xf>
    <xf numFmtId="0" fontId="1" fillId="5" borderId="1" xfId="0" applyFont="1" applyFill="1" applyBorder="1" applyAlignment="1">
      <alignment horizontal="center" vertical="center"/>
    </xf>
    <xf numFmtId="0" fontId="15" fillId="0" borderId="0" xfId="0" applyFont="1" applyAlignment="1">
      <alignment vertical="center"/>
    </xf>
    <xf numFmtId="0" fontId="16" fillId="0" borderId="0" xfId="0" applyFont="1" applyAlignment="1">
      <alignment vertical="center"/>
    </xf>
    <xf numFmtId="0" fontId="17" fillId="4" borderId="1" xfId="0" applyFont="1"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vertical="center" wrapText="1"/>
    </xf>
    <xf numFmtId="0" fontId="0" fillId="0" borderId="1" xfId="0" applyBorder="1" applyAlignment="1">
      <alignment horizontal="center" vertical="center"/>
    </xf>
    <xf numFmtId="0" fontId="0" fillId="8" borderId="1" xfId="0" applyFill="1" applyBorder="1" applyAlignment="1">
      <alignment horizontal="center" vertical="center"/>
    </xf>
    <xf numFmtId="49" fontId="0" fillId="0" borderId="1" xfId="0" applyNumberFormat="1" applyBorder="1" applyAlignment="1">
      <alignment vertical="center" wrapText="1"/>
    </xf>
    <xf numFmtId="0" fontId="0" fillId="7" borderId="0" xfId="0" applyFill="1" applyAlignment="1">
      <alignment horizontal="center" vertical="center" wrapText="1"/>
    </xf>
    <xf numFmtId="49" fontId="0" fillId="0" borderId="0" xfId="0" applyNumberFormat="1" applyAlignment="1">
      <alignment vertical="center" wrapText="1"/>
    </xf>
    <xf numFmtId="0" fontId="1" fillId="5" borderId="1" xfId="0" applyFont="1" applyFill="1" applyBorder="1" applyAlignment="1">
      <alignment horizontal="center" vertical="center" wrapText="1"/>
    </xf>
    <xf numFmtId="0" fontId="0" fillId="7" borderId="0" xfId="0" applyFill="1" applyAlignment="1">
      <alignment vertical="center" wrapText="1"/>
    </xf>
    <xf numFmtId="0" fontId="0" fillId="7" borderId="1" xfId="0" applyFill="1" applyBorder="1" applyAlignment="1">
      <alignment horizontal="left" vertical="center" wrapText="1"/>
    </xf>
    <xf numFmtId="0" fontId="13" fillId="0" borderId="1" xfId="0" applyFont="1" applyBorder="1" applyAlignment="1">
      <alignment horizontal="left" vertical="center" wrapText="1"/>
    </xf>
    <xf numFmtId="0" fontId="0" fillId="7" borderId="1" xfId="0" quotePrefix="1" applyFill="1" applyBorder="1" applyAlignment="1">
      <alignment horizontal="center" vertical="center" wrapText="1"/>
    </xf>
    <xf numFmtId="0" fontId="16" fillId="8" borderId="0" xfId="0" applyFont="1" applyFill="1"/>
    <xf numFmtId="0" fontId="0" fillId="8" borderId="0" xfId="0" applyFill="1"/>
    <xf numFmtId="0" fontId="14" fillId="4" borderId="1" xfId="0" applyFont="1" applyFill="1" applyBorder="1" applyAlignment="1">
      <alignment horizontal="center"/>
    </xf>
    <xf numFmtId="0" fontId="12" fillId="0" borderId="21" xfId="0" applyFont="1" applyBorder="1" applyAlignment="1">
      <alignment vertical="top"/>
    </xf>
    <xf numFmtId="0" fontId="18" fillId="0" borderId="1" xfId="0" applyFont="1" applyBorder="1" applyAlignment="1">
      <alignment horizontal="center" vertical="center"/>
    </xf>
    <xf numFmtId="49" fontId="12" fillId="0" borderId="21" xfId="0" applyNumberFormat="1" applyFont="1" applyBorder="1" applyAlignment="1">
      <alignment horizontal="center" vertical="top"/>
    </xf>
    <xf numFmtId="49" fontId="19" fillId="0" borderId="21" xfId="0" applyNumberFormat="1" applyFont="1" applyBorder="1" applyAlignment="1">
      <alignment vertical="top"/>
    </xf>
    <xf numFmtId="0" fontId="12" fillId="0" borderId="21" xfId="0" applyFont="1" applyBorder="1" applyAlignment="1">
      <alignment horizontal="center" vertical="top"/>
    </xf>
    <xf numFmtId="0" fontId="0" fillId="0" borderId="1" xfId="0" applyBorder="1" applyAlignment="1">
      <alignment vertical="center" wrapText="1"/>
    </xf>
    <xf numFmtId="0" fontId="9" fillId="8" borderId="19" xfId="4" applyFont="1" applyFill="1" applyBorder="1" applyAlignment="1">
      <alignment horizontal="center" vertical="center"/>
    </xf>
    <xf numFmtId="0" fontId="21" fillId="0" borderId="25" xfId="0" quotePrefix="1" applyFont="1" applyBorder="1" applyAlignment="1">
      <alignment horizontal="center"/>
    </xf>
    <xf numFmtId="0" fontId="21" fillId="0" borderId="25" xfId="0" applyFont="1" applyBorder="1"/>
    <xf numFmtId="0" fontId="21" fillId="0" borderId="25" xfId="0" applyFont="1" applyBorder="1" applyAlignment="1">
      <alignment vertical="top"/>
    </xf>
    <xf numFmtId="0" fontId="2" fillId="2" borderId="5" xfId="0" applyFont="1" applyFill="1" applyBorder="1" applyAlignment="1">
      <alignment horizontal="center" vertical="center" wrapText="1"/>
    </xf>
    <xf numFmtId="49" fontId="10" fillId="4" borderId="1" xfId="0" applyNumberFormat="1" applyFont="1" applyFill="1" applyBorder="1" applyAlignment="1">
      <alignment horizontal="center" vertical="center" wrapText="1"/>
    </xf>
    <xf numFmtId="49" fontId="0" fillId="0" borderId="0" xfId="0" applyNumberFormat="1" applyAlignment="1">
      <alignment horizontal="center" vertical="center" wrapText="1"/>
    </xf>
    <xf numFmtId="0" fontId="2" fillId="2" borderId="4"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3" fillId="9" borderId="1" xfId="0" applyFont="1" applyFill="1" applyBorder="1"/>
    <xf numFmtId="49" fontId="0" fillId="9" borderId="1" xfId="0" applyNumberFormat="1" applyFill="1" applyBorder="1" applyAlignment="1">
      <alignment vertical="center" wrapText="1"/>
    </xf>
    <xf numFmtId="0" fontId="22" fillId="0" borderId="25" xfId="0" quotePrefix="1" applyFont="1" applyBorder="1" applyAlignment="1">
      <alignment horizontal="center"/>
    </xf>
    <xf numFmtId="0" fontId="22" fillId="0" borderId="25" xfId="0" applyFont="1" applyBorder="1"/>
    <xf numFmtId="49" fontId="0" fillId="8" borderId="1" xfId="0" applyNumberFormat="1" applyFill="1" applyBorder="1" applyAlignment="1">
      <alignment vertical="center" wrapText="1"/>
    </xf>
    <xf numFmtId="49" fontId="9" fillId="8" borderId="1" xfId="0" quotePrefix="1" applyNumberFormat="1" applyFont="1" applyFill="1" applyBorder="1" applyAlignment="1">
      <alignment horizontal="center" vertical="center" wrapText="1"/>
    </xf>
    <xf numFmtId="49" fontId="0" fillId="8" borderId="0" xfId="0" applyNumberFormat="1" applyFill="1" applyAlignment="1">
      <alignment vertical="center"/>
    </xf>
    <xf numFmtId="49" fontId="0" fillId="0" borderId="1" xfId="0" applyNumberFormat="1" applyBorder="1" applyAlignment="1">
      <alignment horizontal="left" vertical="center" wrapText="1"/>
    </xf>
    <xf numFmtId="49" fontId="0" fillId="6" borderId="1" xfId="0" applyNumberFormat="1" applyFill="1" applyBorder="1" applyAlignment="1">
      <alignment horizontal="left" vertical="center"/>
    </xf>
    <xf numFmtId="49" fontId="9" fillId="6" borderId="1" xfId="0" quotePrefix="1" applyNumberFormat="1" applyFont="1" applyFill="1" applyBorder="1" applyAlignment="1">
      <alignment horizontal="left" vertical="center"/>
    </xf>
    <xf numFmtId="49" fontId="0" fillId="9" borderId="1" xfId="0" applyNumberFormat="1" applyFill="1" applyBorder="1" applyAlignment="1">
      <alignment horizontal="left" vertical="center"/>
    </xf>
    <xf numFmtId="49" fontId="0" fillId="0" borderId="1" xfId="0" applyNumberFormat="1" applyBorder="1" applyAlignment="1">
      <alignment horizontal="left" vertical="center"/>
    </xf>
    <xf numFmtId="49" fontId="0" fillId="0" borderId="1" xfId="0" applyNumberFormat="1" applyBorder="1" applyAlignment="1">
      <alignment vertical="center"/>
    </xf>
    <xf numFmtId="43" fontId="24" fillId="0" borderId="1" xfId="5" applyFont="1" applyBorder="1" applyAlignment="1">
      <alignment horizontal="center" vertical="center"/>
    </xf>
    <xf numFmtId="49" fontId="0" fillId="0" borderId="0" xfId="0" applyNumberFormat="1" applyAlignment="1">
      <alignment horizontal="left" vertical="center"/>
    </xf>
    <xf numFmtId="49" fontId="0" fillId="8" borderId="1" xfId="0" applyNumberFormat="1" applyFill="1" applyBorder="1" applyAlignment="1">
      <alignment vertical="center"/>
    </xf>
    <xf numFmtId="49" fontId="0" fillId="9" borderId="1" xfId="0" applyNumberFormat="1" applyFill="1" applyBorder="1" applyAlignment="1">
      <alignment vertical="center"/>
    </xf>
    <xf numFmtId="9" fontId="0" fillId="8" borderId="1" xfId="6" applyFont="1" applyFill="1" applyBorder="1" applyAlignment="1">
      <alignment vertical="center"/>
    </xf>
    <xf numFmtId="49" fontId="9" fillId="8" borderId="1" xfId="0" applyNumberFormat="1" applyFont="1" applyFill="1" applyBorder="1" applyAlignment="1">
      <alignment vertical="center" wrapText="1"/>
    </xf>
    <xf numFmtId="164" fontId="23" fillId="8" borderId="1" xfId="5" applyNumberFormat="1" applyFont="1" applyFill="1" applyBorder="1" applyAlignment="1">
      <alignment vertical="center" wrapText="1"/>
    </xf>
    <xf numFmtId="164" fontId="23" fillId="0" borderId="1" xfId="5" applyNumberFormat="1" applyFont="1" applyBorder="1" applyAlignment="1">
      <alignment horizontal="left" vertical="center"/>
    </xf>
    <xf numFmtId="164" fontId="23" fillId="0" borderId="1" xfId="0" applyNumberFormat="1" applyFont="1" applyBorder="1" applyAlignment="1">
      <alignment vertical="center"/>
    </xf>
    <xf numFmtId="49" fontId="23" fillId="0" borderId="1" xfId="0" applyNumberFormat="1" applyFont="1" applyBorder="1" applyAlignment="1">
      <alignment vertical="center"/>
    </xf>
    <xf numFmtId="164" fontId="23" fillId="8" borderId="1" xfId="7" applyNumberFormat="1" applyFont="1" applyFill="1" applyBorder="1" applyAlignment="1">
      <alignment horizontal="center" vertical="center" wrapText="1"/>
    </xf>
    <xf numFmtId="164" fontId="23" fillId="0" borderId="1" xfId="7" applyNumberFormat="1" applyFont="1" applyBorder="1" applyAlignment="1">
      <alignment horizontal="center" vertical="center" wrapText="1"/>
    </xf>
    <xf numFmtId="164" fontId="23" fillId="0" borderId="1" xfId="5" applyNumberFormat="1" applyFont="1" applyBorder="1" applyAlignment="1">
      <alignment horizontal="center" vertical="center"/>
    </xf>
    <xf numFmtId="0" fontId="0" fillId="0" borderId="22" xfId="0" applyBorder="1" applyAlignment="1">
      <alignment horizontal="center" vertical="center" wrapText="1"/>
    </xf>
    <xf numFmtId="0" fontId="0" fillId="0" borderId="24" xfId="0" applyBorder="1" applyAlignment="1">
      <alignment horizontal="center" vertical="center" wrapText="1"/>
    </xf>
    <xf numFmtId="0" fontId="0" fillId="0" borderId="1"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10" fillId="4" borderId="1" xfId="0" applyFont="1" applyFill="1" applyBorder="1" applyAlignment="1">
      <alignment horizontal="center" vertical="center" wrapText="1"/>
    </xf>
    <xf numFmtId="0" fontId="10" fillId="4" borderId="16" xfId="0" applyFont="1" applyFill="1" applyBorder="1" applyAlignment="1">
      <alignment horizontal="center" vertical="center" wrapText="1"/>
    </xf>
    <xf numFmtId="0" fontId="0" fillId="8" borderId="22" xfId="0" applyFill="1" applyBorder="1" applyAlignment="1">
      <alignment horizontal="center" vertical="center" wrapText="1"/>
    </xf>
    <xf numFmtId="0" fontId="0" fillId="8" borderId="23" xfId="0" applyFill="1" applyBorder="1" applyAlignment="1">
      <alignment horizontal="center" vertical="center" wrapText="1"/>
    </xf>
    <xf numFmtId="0" fontId="0" fillId="8" borderId="24" xfId="0" applyFill="1" applyBorder="1" applyAlignment="1">
      <alignment horizontal="center" vertical="center" wrapText="1"/>
    </xf>
    <xf numFmtId="0" fontId="10" fillId="4" borderId="16" xfId="0" applyFont="1" applyFill="1" applyBorder="1" applyAlignment="1">
      <alignment horizontal="center" vertical="center"/>
    </xf>
    <xf numFmtId="0" fontId="10" fillId="4" borderId="17" xfId="0" applyFont="1" applyFill="1" applyBorder="1" applyAlignment="1">
      <alignment horizontal="center" vertical="center"/>
    </xf>
    <xf numFmtId="0" fontId="0" fillId="8" borderId="16" xfId="0" applyFill="1" applyBorder="1" applyAlignment="1">
      <alignment horizontal="center" vertical="center" wrapText="1"/>
    </xf>
    <xf numFmtId="0" fontId="0" fillId="8" borderId="18" xfId="0" applyFill="1" applyBorder="1" applyAlignment="1">
      <alignment horizontal="center" vertical="center" wrapText="1"/>
    </xf>
    <xf numFmtId="0" fontId="0" fillId="8" borderId="17" xfId="0" applyFill="1" applyBorder="1" applyAlignment="1">
      <alignment horizontal="center" vertical="center" wrapText="1"/>
    </xf>
    <xf numFmtId="0" fontId="0" fillId="8" borderId="1" xfId="0" applyFill="1" applyBorder="1" applyAlignment="1">
      <alignment horizontal="center" vertical="center" wrapText="1"/>
    </xf>
    <xf numFmtId="0" fontId="0" fillId="8" borderId="16" xfId="0" applyFill="1" applyBorder="1" applyAlignment="1">
      <alignment horizontal="center" vertical="center"/>
    </xf>
    <xf numFmtId="0" fontId="0" fillId="8" borderId="18" xfId="0" applyFill="1" applyBorder="1" applyAlignment="1">
      <alignment horizontal="center" vertical="center"/>
    </xf>
    <xf numFmtId="0" fontId="0" fillId="8" borderId="17" xfId="0"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0" fillId="3" borderId="0" xfId="0" applyFill="1" applyAlignment="1">
      <alignment horizontal="left" vertical="center"/>
    </xf>
    <xf numFmtId="0" fontId="0" fillId="3" borderId="15" xfId="0" applyFill="1" applyBorder="1" applyAlignment="1">
      <alignment horizontal="left" vertical="center"/>
    </xf>
    <xf numFmtId="49" fontId="10" fillId="4" borderId="1" xfId="0" applyNumberFormat="1" applyFont="1" applyFill="1" applyBorder="1" applyAlignment="1">
      <alignment horizontal="center" vertical="center" wrapText="1"/>
    </xf>
    <xf numFmtId="49" fontId="10" fillId="4" borderId="2" xfId="0" applyNumberFormat="1" applyFont="1" applyFill="1" applyBorder="1" applyAlignment="1">
      <alignment horizontal="center" vertical="center" wrapText="1"/>
    </xf>
    <xf numFmtId="49" fontId="10" fillId="4" borderId="19" xfId="0" applyNumberFormat="1" applyFont="1" applyFill="1" applyBorder="1" applyAlignment="1">
      <alignment horizontal="center" vertical="center" wrapText="1"/>
    </xf>
    <xf numFmtId="49" fontId="10" fillId="4" borderId="16" xfId="0" applyNumberFormat="1" applyFont="1" applyFill="1" applyBorder="1" applyAlignment="1">
      <alignment horizontal="center" vertical="center" wrapText="1"/>
    </xf>
    <xf numFmtId="49" fontId="10" fillId="4" borderId="17" xfId="0" applyNumberFormat="1" applyFont="1" applyFill="1" applyBorder="1" applyAlignment="1">
      <alignment horizontal="center" vertical="center" wrapText="1"/>
    </xf>
    <xf numFmtId="49" fontId="10" fillId="4" borderId="18" xfId="0" applyNumberFormat="1" applyFont="1" applyFill="1" applyBorder="1" applyAlignment="1">
      <alignment horizontal="center" vertical="center" wrapText="1"/>
    </xf>
    <xf numFmtId="49" fontId="10" fillId="4" borderId="20" xfId="0" applyNumberFormat="1" applyFont="1" applyFill="1" applyBorder="1" applyAlignment="1">
      <alignment horizontal="center" vertical="center" wrapText="1"/>
    </xf>
    <xf numFmtId="49" fontId="0" fillId="9" borderId="1" xfId="0" applyNumberFormat="1" applyFill="1" applyBorder="1" applyAlignment="1">
      <alignment horizontal="left" vertical="center" wrapText="1"/>
    </xf>
  </cellXfs>
  <cellStyles count="8">
    <cellStyle name="Comma" xfId="5" builtinId="3"/>
    <cellStyle name="Comma 2" xfId="7" xr:uid="{8ABB4608-B84E-4FBC-8664-B68BE7ACFB9C}"/>
    <cellStyle name="Hyperlink" xfId="4" builtinId="8"/>
    <cellStyle name="Hyperlink 2" xfId="2" xr:uid="{00000000-0005-0000-0000-000002000000}"/>
    <cellStyle name="Normal" xfId="0" builtinId="0"/>
    <cellStyle name="Normal 2" xfId="1" xr:uid="{00000000-0005-0000-0000-000004000000}"/>
    <cellStyle name="Normal 2 3" xfId="3" xr:uid="{00000000-0005-0000-0000-000005000000}"/>
    <cellStyle name="Percent" xfId="6"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213360</xdr:colOff>
          <xdr:row>0</xdr:row>
          <xdr:rowOff>167640</xdr:rowOff>
        </xdr:from>
        <xdr:to>
          <xdr:col>5</xdr:col>
          <xdr:colOff>1272540</xdr:colOff>
          <xdr:row>4</xdr:row>
          <xdr:rowOff>68580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Generate </a:t>
              </a:r>
            </a:p>
            <a:p>
              <a:pPr algn="ctr" rtl="0">
                <a:defRPr sz="1000"/>
              </a:pPr>
              <a:r>
                <a:rPr lang="en-US" sz="1400" b="1" i="0" u="none" strike="noStrike" baseline="0">
                  <a:solidFill>
                    <a:srgbClr val="000000"/>
                  </a:solidFill>
                  <a:latin typeface="Calibri"/>
                  <a:ea typeface="Calibri"/>
                  <a:cs typeface="Calibri"/>
                </a:rPr>
                <a:t>File Teks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xdr:row>
          <xdr:rowOff>53340</xdr:rowOff>
        </xdr:from>
        <xdr:to>
          <xdr:col>0</xdr:col>
          <xdr:colOff>1394460</xdr:colOff>
          <xdr:row>5</xdr:row>
          <xdr:rowOff>22860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Lokasi Penyimpanan File</a:t>
              </a:r>
            </a:p>
          </xdr:txBody>
        </xdr:sp>
        <xdr:clientData fPrintsWithSheet="0"/>
      </xdr:twoCellAnchor>
    </mc:Choice>
    <mc:Fallback/>
  </mc:AlternateContent>
  <xdr:twoCellAnchor editAs="oneCell">
    <xdr:from>
      <xdr:col>0</xdr:col>
      <xdr:colOff>169334</xdr:colOff>
      <xdr:row>9</xdr:row>
      <xdr:rowOff>38099</xdr:rowOff>
    </xdr:from>
    <xdr:to>
      <xdr:col>2</xdr:col>
      <xdr:colOff>549778</xdr:colOff>
      <xdr:row>11</xdr:row>
      <xdr:rowOff>9483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169334" y="1828799"/>
          <a:ext cx="4447619" cy="35238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
  <dimension ref="A1:A38"/>
  <sheetViews>
    <sheetView showGridLines="0" zoomScaleNormal="100" workbookViewId="0">
      <selection activeCell="E21" sqref="E21"/>
    </sheetView>
  </sheetViews>
  <sheetFormatPr defaultColWidth="9.21875" defaultRowHeight="14.4" x14ac:dyDescent="0.3"/>
  <cols>
    <col min="1" max="1" width="12.21875" style="21" bestFit="1" customWidth="1"/>
    <col min="2" max="16384" width="9.21875" style="21"/>
  </cols>
  <sheetData>
    <row r="1" spans="1:1" ht="14.55" x14ac:dyDescent="0.35">
      <c r="A1" s="22" t="s">
        <v>0</v>
      </c>
    </row>
    <row r="2" spans="1:1" ht="14.55" x14ac:dyDescent="0.35">
      <c r="A2" s="23" t="s">
        <v>1</v>
      </c>
    </row>
    <row r="3" spans="1:1" ht="14.55" x14ac:dyDescent="0.35">
      <c r="A3" s="23" t="s">
        <v>2</v>
      </c>
    </row>
    <row r="4" spans="1:1" ht="14.55" x14ac:dyDescent="0.35">
      <c r="A4" s="23" t="s">
        <v>3</v>
      </c>
    </row>
    <row r="6" spans="1:1" ht="28.95" x14ac:dyDescent="0.35">
      <c r="A6" s="22" t="s">
        <v>4</v>
      </c>
    </row>
    <row r="7" spans="1:1" x14ac:dyDescent="0.3">
      <c r="A7" s="23" t="s">
        <v>5</v>
      </c>
    </row>
    <row r="8" spans="1:1" x14ac:dyDescent="0.3">
      <c r="A8" s="23" t="s">
        <v>6</v>
      </c>
    </row>
    <row r="9" spans="1:1" x14ac:dyDescent="0.3">
      <c r="A9" s="23" t="s">
        <v>7</v>
      </c>
    </row>
    <row r="10" spans="1:1" x14ac:dyDescent="0.3">
      <c r="A10" s="23" t="s">
        <v>8</v>
      </c>
    </row>
    <row r="12" spans="1:1" x14ac:dyDescent="0.3">
      <c r="A12" s="22" t="s">
        <v>9</v>
      </c>
    </row>
    <row r="13" spans="1:1" x14ac:dyDescent="0.3">
      <c r="A13" s="23" t="s">
        <v>10</v>
      </c>
    </row>
    <row r="14" spans="1:1" x14ac:dyDescent="0.3">
      <c r="A14" s="23" t="s">
        <v>11</v>
      </c>
    </row>
    <row r="29" ht="15" customHeight="1" x14ac:dyDescent="0.3"/>
    <row r="38" ht="15" customHeight="1" x14ac:dyDescent="0.3"/>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B2:J13"/>
  <sheetViews>
    <sheetView showGridLines="0" zoomScaleNormal="100" workbookViewId="0">
      <selection activeCell="G6" sqref="G6"/>
    </sheetView>
  </sheetViews>
  <sheetFormatPr defaultColWidth="9.21875" defaultRowHeight="14.4" x14ac:dyDescent="0.3"/>
  <cols>
    <col min="1" max="1" width="2.44140625" style="18" customWidth="1"/>
    <col min="2" max="2" width="4" style="18" customWidth="1"/>
    <col min="3" max="3" width="17.77734375" style="15" bestFit="1" customWidth="1"/>
    <col min="4" max="4" width="29.77734375" style="3" bestFit="1" customWidth="1"/>
    <col min="5" max="5" width="10.21875" style="15" bestFit="1" customWidth="1"/>
    <col min="6" max="6" width="27.77734375" style="15" bestFit="1" customWidth="1"/>
    <col min="7" max="7" width="46.21875" style="18" customWidth="1"/>
    <col min="8" max="8" width="10.21875" style="15" customWidth="1"/>
    <col min="9" max="9" width="10.5546875" style="19" bestFit="1" customWidth="1"/>
    <col min="10" max="10" width="9.21875" style="19"/>
    <col min="11" max="16384" width="9.21875" style="18"/>
  </cols>
  <sheetData>
    <row r="2" spans="2:9" ht="15.75" customHeight="1" x14ac:dyDescent="0.3">
      <c r="B2" s="95" t="s">
        <v>12</v>
      </c>
      <c r="C2" s="95" t="s">
        <v>13</v>
      </c>
      <c r="D2" s="95" t="s">
        <v>14</v>
      </c>
      <c r="E2" s="95" t="s">
        <v>4</v>
      </c>
      <c r="F2" s="100" t="s">
        <v>15</v>
      </c>
      <c r="G2" s="95" t="s">
        <v>16</v>
      </c>
      <c r="H2" s="95" t="s">
        <v>17</v>
      </c>
      <c r="I2" s="95" t="s">
        <v>18</v>
      </c>
    </row>
    <row r="3" spans="2:9" ht="15.75" customHeight="1" x14ac:dyDescent="0.3">
      <c r="B3" s="95"/>
      <c r="C3" s="95"/>
      <c r="D3" s="95"/>
      <c r="E3" s="95"/>
      <c r="F3" s="101"/>
      <c r="G3" s="96"/>
      <c r="H3" s="95"/>
      <c r="I3" s="95"/>
    </row>
    <row r="4" spans="2:9" ht="28.8" x14ac:dyDescent="0.3">
      <c r="B4" s="35">
        <v>1</v>
      </c>
      <c r="C4" s="106" t="s">
        <v>19</v>
      </c>
      <c r="D4" s="102" t="s">
        <v>20</v>
      </c>
      <c r="E4" s="102" t="s">
        <v>5</v>
      </c>
      <c r="F4" s="97" t="s">
        <v>21</v>
      </c>
      <c r="G4" s="53" t="s">
        <v>22</v>
      </c>
      <c r="H4" s="54" t="s">
        <v>23</v>
      </c>
      <c r="I4" s="36" t="s">
        <v>24</v>
      </c>
    </row>
    <row r="5" spans="2:9" ht="28.8" x14ac:dyDescent="0.3">
      <c r="B5" s="35">
        <v>2</v>
      </c>
      <c r="C5" s="107"/>
      <c r="D5" s="103"/>
      <c r="E5" s="103"/>
      <c r="F5" s="98"/>
      <c r="G5" s="53" t="s">
        <v>25</v>
      </c>
      <c r="H5" s="54" t="s">
        <v>26</v>
      </c>
      <c r="I5" s="36" t="s">
        <v>27</v>
      </c>
    </row>
    <row r="6" spans="2:9" x14ac:dyDescent="0.3">
      <c r="B6" s="35">
        <v>3</v>
      </c>
      <c r="C6" s="108"/>
      <c r="D6" s="104"/>
      <c r="E6" s="104"/>
      <c r="F6" s="99"/>
      <c r="G6" s="53" t="s">
        <v>28</v>
      </c>
      <c r="H6" s="54" t="s">
        <v>29</v>
      </c>
      <c r="I6" s="36" t="s">
        <v>24</v>
      </c>
    </row>
    <row r="7" spans="2:9" ht="28.8" x14ac:dyDescent="0.3">
      <c r="B7" s="35">
        <v>1</v>
      </c>
      <c r="C7" s="105" t="s">
        <v>30</v>
      </c>
      <c r="D7" s="102" t="s">
        <v>31</v>
      </c>
      <c r="E7" s="102" t="s">
        <v>6</v>
      </c>
      <c r="F7" s="97" t="s">
        <v>32</v>
      </c>
      <c r="G7" s="53" t="s">
        <v>22</v>
      </c>
      <c r="H7" s="54" t="s">
        <v>23</v>
      </c>
      <c r="I7" s="36" t="s">
        <v>24</v>
      </c>
    </row>
    <row r="8" spans="2:9" ht="28.8" x14ac:dyDescent="0.3">
      <c r="B8" s="35">
        <v>2</v>
      </c>
      <c r="C8" s="105"/>
      <c r="D8" s="103"/>
      <c r="E8" s="103"/>
      <c r="F8" s="98"/>
      <c r="G8" s="53" t="s">
        <v>25</v>
      </c>
      <c r="H8" s="54" t="s">
        <v>26</v>
      </c>
      <c r="I8" s="36" t="s">
        <v>27</v>
      </c>
    </row>
    <row r="9" spans="2:9" x14ac:dyDescent="0.3">
      <c r="B9" s="35">
        <v>3</v>
      </c>
      <c r="C9" s="105"/>
      <c r="D9" s="104"/>
      <c r="E9" s="104"/>
      <c r="F9" s="99"/>
      <c r="G9" s="53" t="s">
        <v>28</v>
      </c>
      <c r="H9" s="54" t="s">
        <v>29</v>
      </c>
      <c r="I9" s="36" t="s">
        <v>24</v>
      </c>
    </row>
    <row r="10" spans="2:9" ht="43.2" x14ac:dyDescent="0.3">
      <c r="B10" s="35">
        <v>1</v>
      </c>
      <c r="C10" s="92" t="s">
        <v>33</v>
      </c>
      <c r="D10" s="92" t="s">
        <v>34</v>
      </c>
      <c r="E10" s="93" t="s">
        <v>7</v>
      </c>
      <c r="F10" s="90" t="s">
        <v>35</v>
      </c>
      <c r="G10" s="53" t="s">
        <v>36</v>
      </c>
      <c r="H10" s="54" t="s">
        <v>37</v>
      </c>
      <c r="I10" s="36" t="s">
        <v>27</v>
      </c>
    </row>
    <row r="11" spans="2:9" x14ac:dyDescent="0.3">
      <c r="B11" s="35">
        <v>2</v>
      </c>
      <c r="C11" s="92"/>
      <c r="D11" s="92"/>
      <c r="E11" s="94"/>
      <c r="F11" s="91"/>
      <c r="G11" s="53" t="s">
        <v>28</v>
      </c>
      <c r="H11" s="54" t="s">
        <v>38</v>
      </c>
      <c r="I11" s="36" t="s">
        <v>24</v>
      </c>
    </row>
    <row r="12" spans="2:9" ht="43.2" x14ac:dyDescent="0.3">
      <c r="B12" s="35">
        <v>1</v>
      </c>
      <c r="C12" s="92" t="s">
        <v>39</v>
      </c>
      <c r="D12" s="92" t="s">
        <v>40</v>
      </c>
      <c r="E12" s="93" t="s">
        <v>8</v>
      </c>
      <c r="F12" s="90" t="s">
        <v>35</v>
      </c>
      <c r="G12" s="53" t="s">
        <v>36</v>
      </c>
      <c r="H12" s="54" t="s">
        <v>37</v>
      </c>
      <c r="I12" s="36" t="s">
        <v>27</v>
      </c>
    </row>
    <row r="13" spans="2:9" x14ac:dyDescent="0.3">
      <c r="B13" s="35">
        <v>2</v>
      </c>
      <c r="C13" s="92"/>
      <c r="D13" s="92"/>
      <c r="E13" s="94"/>
      <c r="F13" s="91"/>
      <c r="G13" s="53" t="s">
        <v>28</v>
      </c>
      <c r="H13" s="54" t="s">
        <v>38</v>
      </c>
      <c r="I13" s="36" t="s">
        <v>24</v>
      </c>
    </row>
  </sheetData>
  <mergeCells count="24">
    <mergeCell ref="B2:B3"/>
    <mergeCell ref="C2:C3"/>
    <mergeCell ref="D2:D3"/>
    <mergeCell ref="E2:E3"/>
    <mergeCell ref="C4:C6"/>
    <mergeCell ref="D4:D6"/>
    <mergeCell ref="E4:E6"/>
    <mergeCell ref="E7:E9"/>
    <mergeCell ref="C7:C9"/>
    <mergeCell ref="D7:D9"/>
    <mergeCell ref="F7:F9"/>
    <mergeCell ref="E10:E11"/>
    <mergeCell ref="F10:F11"/>
    <mergeCell ref="I2:I3"/>
    <mergeCell ref="G2:G3"/>
    <mergeCell ref="H2:H3"/>
    <mergeCell ref="F4:F6"/>
    <mergeCell ref="F2:F3"/>
    <mergeCell ref="F12:F13"/>
    <mergeCell ref="D10:D11"/>
    <mergeCell ref="D12:D13"/>
    <mergeCell ref="C10:C11"/>
    <mergeCell ref="C12:C13"/>
    <mergeCell ref="E12:E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ader">
    <tabColor rgb="FF0070C0"/>
  </sheetPr>
  <dimension ref="A1:L51"/>
  <sheetViews>
    <sheetView showGridLines="0" zoomScaleNormal="100" workbookViewId="0">
      <selection activeCell="D10" sqref="D10"/>
    </sheetView>
  </sheetViews>
  <sheetFormatPr defaultRowHeight="14.4" x14ac:dyDescent="0.3"/>
  <cols>
    <col min="1" max="1" width="21.77734375" customWidth="1"/>
    <col min="2" max="2" width="39.21875" customWidth="1"/>
    <col min="3" max="3" width="21.77734375" customWidth="1"/>
    <col min="4" max="4" width="23.5546875" customWidth="1"/>
    <col min="5" max="5" width="35.77734375" customWidth="1"/>
    <col min="6" max="6" width="21.77734375" customWidth="1"/>
  </cols>
  <sheetData>
    <row r="1" spans="1:10" ht="36" x14ac:dyDescent="0.3">
      <c r="A1" s="61" t="s">
        <v>1427</v>
      </c>
      <c r="B1" s="58" t="s">
        <v>1403</v>
      </c>
      <c r="C1" s="62" t="s">
        <v>4</v>
      </c>
      <c r="D1" s="62" t="s">
        <v>41</v>
      </c>
      <c r="E1" s="63" t="s">
        <v>42</v>
      </c>
      <c r="F1" s="109"/>
      <c r="J1" s="5"/>
    </row>
    <row r="2" spans="1:10" ht="15.6" x14ac:dyDescent="0.3">
      <c r="A2" s="16" t="s">
        <v>1429</v>
      </c>
      <c r="B2" s="2" t="s">
        <v>1526</v>
      </c>
      <c r="C2" s="25" t="s">
        <v>5</v>
      </c>
      <c r="D2" s="11" t="s">
        <v>1</v>
      </c>
      <c r="E2" s="43" t="s">
        <v>1426</v>
      </c>
      <c r="F2" s="110"/>
      <c r="I2" s="4"/>
      <c r="J2" s="4"/>
    </row>
    <row r="3" spans="1:10" ht="5.25" customHeight="1" x14ac:dyDescent="0.3">
      <c r="A3" s="7"/>
      <c r="B3" s="1"/>
      <c r="C3" s="1"/>
      <c r="D3" s="1"/>
      <c r="E3" s="17"/>
      <c r="F3" s="111"/>
      <c r="I3" s="4"/>
      <c r="J3" s="4"/>
    </row>
    <row r="4" spans="1:10" x14ac:dyDescent="0.3">
      <c r="A4" s="8"/>
      <c r="B4" s="113" t="s">
        <v>1588</v>
      </c>
      <c r="C4" s="113"/>
      <c r="D4" s="113"/>
      <c r="E4" s="114"/>
      <c r="F4" s="111"/>
      <c r="I4" s="4"/>
      <c r="J4" s="6"/>
    </row>
    <row r="5" spans="1:10" x14ac:dyDescent="0.3">
      <c r="A5" s="8"/>
      <c r="B5" s="113"/>
      <c r="C5" s="113"/>
      <c r="D5" s="113"/>
      <c r="E5" s="114"/>
      <c r="F5" s="111"/>
      <c r="I5" s="4"/>
    </row>
    <row r="6" spans="1:10" ht="3.75" customHeight="1" thickBot="1" x14ac:dyDescent="0.35">
      <c r="A6" s="9"/>
      <c r="B6" s="10"/>
      <c r="C6" s="10"/>
      <c r="D6" s="10"/>
      <c r="E6" s="10"/>
      <c r="F6" s="112"/>
    </row>
    <row r="7" spans="1:10" ht="14.55" x14ac:dyDescent="0.35">
      <c r="J7" s="4"/>
    </row>
    <row r="8" spans="1:10" ht="21" customHeight="1" x14ac:dyDescent="0.4">
      <c r="A8" s="12" t="s">
        <v>43</v>
      </c>
      <c r="B8" s="13"/>
      <c r="C8" s="13"/>
      <c r="D8" s="13"/>
      <c r="E8" s="13"/>
      <c r="F8" s="13"/>
    </row>
    <row r="9" spans="1:10" ht="15.75" customHeight="1" x14ac:dyDescent="0.3">
      <c r="A9" s="13" t="s">
        <v>44</v>
      </c>
      <c r="B9" s="13"/>
      <c r="C9" s="13"/>
      <c r="D9" s="13"/>
      <c r="E9" s="13"/>
      <c r="F9" s="13"/>
    </row>
    <row r="10" spans="1:10" ht="15.6" x14ac:dyDescent="0.3">
      <c r="A10" s="13"/>
      <c r="B10" s="13"/>
      <c r="C10" s="13"/>
      <c r="D10" s="13"/>
      <c r="E10" s="13"/>
      <c r="F10" s="13"/>
    </row>
    <row r="11" spans="1:10" ht="15.6" x14ac:dyDescent="0.3">
      <c r="A11" s="13"/>
      <c r="B11" s="13"/>
      <c r="C11" s="13"/>
      <c r="D11" s="13"/>
      <c r="E11" s="13"/>
      <c r="F11" s="13"/>
    </row>
    <row r="12" spans="1:10" ht="15.6" x14ac:dyDescent="0.3">
      <c r="A12" s="13" t="s">
        <v>1428</v>
      </c>
      <c r="B12" s="13"/>
      <c r="C12" s="13"/>
      <c r="D12" s="13"/>
      <c r="E12" s="13"/>
      <c r="F12" s="13" t="s">
        <v>45</v>
      </c>
      <c r="G12" s="13"/>
    </row>
    <row r="13" spans="1:10" ht="15.75" customHeight="1" x14ac:dyDescent="0.3">
      <c r="A13" s="13" t="s">
        <v>46</v>
      </c>
      <c r="B13" s="13"/>
      <c r="C13" s="13"/>
      <c r="D13" s="13"/>
      <c r="E13" s="13"/>
      <c r="F13" s="13"/>
      <c r="G13" s="13"/>
    </row>
    <row r="14" spans="1:10" ht="15.6" x14ac:dyDescent="0.3">
      <c r="A14" s="13" t="s">
        <v>47</v>
      </c>
      <c r="B14" s="13"/>
      <c r="C14" s="13"/>
      <c r="D14" s="13"/>
      <c r="E14" s="13"/>
      <c r="F14" s="13"/>
      <c r="G14" s="13"/>
    </row>
    <row r="15" spans="1:10" ht="15.6" x14ac:dyDescent="0.3">
      <c r="A15" s="13" t="s">
        <v>48</v>
      </c>
      <c r="B15" s="13"/>
      <c r="C15" s="13"/>
      <c r="D15" s="13"/>
      <c r="E15" s="13"/>
      <c r="F15" s="13"/>
      <c r="G15" s="13"/>
    </row>
    <row r="16" spans="1:10" ht="15.6" x14ac:dyDescent="0.3">
      <c r="A16" s="13" t="s">
        <v>49</v>
      </c>
      <c r="B16" s="13"/>
      <c r="C16" s="13"/>
      <c r="D16" s="13"/>
      <c r="E16" s="13"/>
      <c r="F16" s="13"/>
      <c r="G16" s="13"/>
    </row>
    <row r="17" spans="1:7" ht="15.6" x14ac:dyDescent="0.3">
      <c r="A17" s="13" t="s">
        <v>50</v>
      </c>
      <c r="B17" s="13"/>
      <c r="C17" s="13"/>
      <c r="D17" s="13"/>
      <c r="E17" s="13"/>
      <c r="F17" s="13"/>
      <c r="G17" s="13"/>
    </row>
    <row r="18" spans="1:7" ht="15.6" x14ac:dyDescent="0.3">
      <c r="A18" s="13" t="s">
        <v>51</v>
      </c>
      <c r="B18" s="13"/>
      <c r="C18" s="13"/>
      <c r="D18" s="13"/>
      <c r="E18" s="13"/>
      <c r="G18" s="13"/>
    </row>
    <row r="19" spans="1:7" ht="15.6" x14ac:dyDescent="0.3">
      <c r="A19" s="13"/>
      <c r="B19" s="13"/>
      <c r="C19" s="13"/>
      <c r="D19" s="13"/>
      <c r="E19" s="13"/>
      <c r="G19" s="13"/>
    </row>
    <row r="20" spans="1:7" ht="15.6" x14ac:dyDescent="0.3">
      <c r="A20" s="64"/>
      <c r="B20" s="13" t="s">
        <v>1406</v>
      </c>
      <c r="C20" s="13"/>
      <c r="D20" s="13"/>
      <c r="E20" s="13"/>
      <c r="G20" s="13"/>
    </row>
    <row r="21" spans="1:7" ht="15.6" x14ac:dyDescent="0.3">
      <c r="A21" s="13"/>
      <c r="B21" s="13"/>
      <c r="C21" s="13"/>
      <c r="D21" s="13"/>
      <c r="E21" s="13"/>
      <c r="F21" s="13"/>
      <c r="G21" s="13"/>
    </row>
    <row r="22" spans="1:7" ht="21" x14ac:dyDescent="0.4">
      <c r="A22" s="12" t="s">
        <v>52</v>
      </c>
      <c r="B22" s="13"/>
      <c r="C22" s="13"/>
      <c r="D22" s="13"/>
      <c r="E22" s="13"/>
      <c r="F22" s="13"/>
      <c r="G22" s="13"/>
    </row>
    <row r="23" spans="1:7" ht="15.6" x14ac:dyDescent="0.3">
      <c r="A23" s="13" t="s">
        <v>53</v>
      </c>
    </row>
    <row r="24" spans="1:7" ht="15.6" x14ac:dyDescent="0.3">
      <c r="A24" s="13" t="s">
        <v>54</v>
      </c>
    </row>
    <row r="25" spans="1:7" x14ac:dyDescent="0.3">
      <c r="A25" s="24" t="s">
        <v>1405</v>
      </c>
    </row>
    <row r="26" spans="1:7" x14ac:dyDescent="0.3">
      <c r="A26" s="24" t="s">
        <v>55</v>
      </c>
    </row>
    <row r="27" spans="1:7" x14ac:dyDescent="0.3">
      <c r="A27" s="24" t="s">
        <v>56</v>
      </c>
    </row>
    <row r="28" spans="1:7" x14ac:dyDescent="0.3">
      <c r="A28" s="24"/>
    </row>
    <row r="29" spans="1:7" ht="21" x14ac:dyDescent="0.4">
      <c r="A29" s="12" t="s">
        <v>57</v>
      </c>
    </row>
    <row r="30" spans="1:7" x14ac:dyDescent="0.3">
      <c r="A30" t="s">
        <v>1404</v>
      </c>
    </row>
    <row r="31" spans="1:7" ht="21" x14ac:dyDescent="0.4">
      <c r="A31" s="12"/>
      <c r="B31" s="13"/>
      <c r="C31" s="13"/>
      <c r="D31" s="13"/>
      <c r="E31" s="13"/>
    </row>
    <row r="32" spans="1:7" ht="15.6" x14ac:dyDescent="0.3">
      <c r="A32" s="13"/>
      <c r="B32" s="13"/>
      <c r="C32" s="13"/>
      <c r="D32" s="13"/>
      <c r="E32" s="13"/>
    </row>
    <row r="33" spans="1:12" ht="15.6" x14ac:dyDescent="0.3">
      <c r="A33" s="13"/>
      <c r="B33" s="13"/>
      <c r="C33" s="13"/>
      <c r="D33" s="13"/>
      <c r="E33" s="13"/>
    </row>
    <row r="34" spans="1:12" ht="15.6" x14ac:dyDescent="0.3">
      <c r="A34" s="13"/>
      <c r="B34" s="13"/>
      <c r="C34" s="13"/>
      <c r="D34" s="13"/>
      <c r="E34" s="13"/>
    </row>
    <row r="35" spans="1:12" ht="15.6" x14ac:dyDescent="0.3">
      <c r="A35" s="13"/>
      <c r="B35" s="13"/>
      <c r="C35" s="13"/>
      <c r="D35" s="13"/>
      <c r="E35" s="13"/>
      <c r="F35" s="13"/>
    </row>
    <row r="36" spans="1:12" ht="15.6" x14ac:dyDescent="0.3">
      <c r="A36" s="13"/>
      <c r="B36" s="13"/>
      <c r="C36" s="13"/>
      <c r="D36" s="13"/>
      <c r="E36" s="13"/>
      <c r="F36" s="13"/>
    </row>
    <row r="37" spans="1:12" ht="15.6" x14ac:dyDescent="0.3">
      <c r="A37" s="13"/>
      <c r="B37" s="13"/>
      <c r="C37" s="13"/>
      <c r="D37" s="13"/>
      <c r="E37" s="13"/>
      <c r="F37" s="13"/>
    </row>
    <row r="38" spans="1:12" ht="15.6" x14ac:dyDescent="0.3">
      <c r="A38" s="13"/>
      <c r="B38" s="13"/>
      <c r="C38" s="13"/>
      <c r="D38" s="13"/>
      <c r="E38" s="13"/>
      <c r="F38" s="13"/>
    </row>
    <row r="39" spans="1:12" ht="15.6" x14ac:dyDescent="0.3">
      <c r="A39" s="13"/>
      <c r="B39" s="13"/>
      <c r="C39" s="13"/>
      <c r="D39" s="13"/>
      <c r="E39" s="13"/>
      <c r="F39" s="13"/>
    </row>
    <row r="40" spans="1:12" ht="15.6" x14ac:dyDescent="0.3">
      <c r="A40" s="13"/>
      <c r="B40" s="13"/>
      <c r="C40" s="13"/>
      <c r="D40" s="13"/>
      <c r="E40" s="13"/>
      <c r="F40" s="13"/>
    </row>
    <row r="41" spans="1:12" ht="15.6" x14ac:dyDescent="0.3">
      <c r="A41" s="13"/>
      <c r="B41" s="13"/>
      <c r="C41" s="13"/>
      <c r="D41" s="13"/>
      <c r="E41" s="13"/>
      <c r="F41" s="13"/>
    </row>
    <row r="42" spans="1:12" ht="15.6" x14ac:dyDescent="0.3">
      <c r="A42" s="13"/>
      <c r="B42" s="13"/>
      <c r="C42" s="13"/>
      <c r="D42" s="13"/>
      <c r="E42" s="13"/>
      <c r="F42" s="13"/>
    </row>
    <row r="43" spans="1:12" ht="15.6" x14ac:dyDescent="0.3">
      <c r="A43" s="13"/>
      <c r="B43" s="13"/>
      <c r="C43" s="13"/>
      <c r="D43" s="13"/>
      <c r="E43" s="13"/>
      <c r="F43" s="13"/>
    </row>
    <row r="44" spans="1:12" ht="21" x14ac:dyDescent="0.4">
      <c r="A44" s="12"/>
      <c r="B44" s="13"/>
      <c r="C44" s="13"/>
      <c r="D44" s="13"/>
      <c r="E44" s="13"/>
      <c r="F44" s="13"/>
      <c r="L44" s="20"/>
    </row>
    <row r="45" spans="1:12" ht="15.6" x14ac:dyDescent="0.3">
      <c r="A45" s="14"/>
    </row>
    <row r="46" spans="1:12" ht="15.6" x14ac:dyDescent="0.3">
      <c r="A46" s="13"/>
    </row>
    <row r="47" spans="1:12" ht="15.6" x14ac:dyDescent="0.3">
      <c r="A47" s="13"/>
    </row>
    <row r="48" spans="1:12" ht="15.6" x14ac:dyDescent="0.3">
      <c r="A48" s="13"/>
    </row>
    <row r="49" spans="1:1" ht="15.6" x14ac:dyDescent="0.3">
      <c r="A49" s="13"/>
    </row>
    <row r="50" spans="1:1" ht="15.6" x14ac:dyDescent="0.3">
      <c r="A50" s="13"/>
    </row>
    <row r="51" spans="1:1" ht="21" x14ac:dyDescent="0.4">
      <c r="A51" s="12"/>
    </row>
  </sheetData>
  <mergeCells count="2">
    <mergeCell ref="F1:F6"/>
    <mergeCell ref="B4:E5"/>
  </mergeCells>
  <dataValidations count="3">
    <dataValidation type="list" allowBlank="1" showInputMessage="1" showErrorMessage="1" sqref="D2" xr:uid="{00000000-0002-0000-0200-000000000000}">
      <formula1>correctionType</formula1>
    </dataValidation>
    <dataValidation type="list" allowBlank="1" showInputMessage="1" showErrorMessage="1" sqref="C2" xr:uid="{00000000-0002-0000-0200-000001000000}">
      <formula1>reportCode</formula1>
    </dataValidation>
    <dataValidation type="list" allowBlank="1" showInputMessage="1" showErrorMessage="1" sqref="E2" xr:uid="{00000000-0002-0000-0200-000002000000}">
      <formula1>refSectorCode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tn_process">
                <anchor moveWithCells="1" sizeWithCells="1">
                  <from>
                    <xdr:col>5</xdr:col>
                    <xdr:colOff>213360</xdr:colOff>
                    <xdr:row>0</xdr:row>
                    <xdr:rowOff>167640</xdr:rowOff>
                  </from>
                  <to>
                    <xdr:col>5</xdr:col>
                    <xdr:colOff>1272540</xdr:colOff>
                    <xdr:row>4</xdr:row>
                    <xdr:rowOff>68580</xdr:rowOff>
                  </to>
                </anchor>
              </controlPr>
            </control>
          </mc:Choice>
        </mc:AlternateContent>
        <mc:AlternateContent xmlns:mc="http://schemas.openxmlformats.org/markup-compatibility/2006">
          <mc:Choice Requires="x14">
            <control shapeId="1030" r:id="rId5" name="Button 6">
              <controlPr defaultSize="0" print="0" autoFill="0" autoPict="0" macro="[0]!get_path.get_path">
                <anchor moveWithCells="1" sizeWithCells="1">
                  <from>
                    <xdr:col>0</xdr:col>
                    <xdr:colOff>38100</xdr:colOff>
                    <xdr:row>2</xdr:row>
                    <xdr:rowOff>53340</xdr:rowOff>
                  </from>
                  <to>
                    <xdr:col>0</xdr:col>
                    <xdr:colOff>1394460</xdr:colOff>
                    <xdr:row>5</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W26"/>
  <sheetViews>
    <sheetView showGridLines="0" tabSelected="1" view="pageBreakPreview" zoomScale="60" zoomScaleNormal="55" workbookViewId="0">
      <selection sqref="A1:AW18"/>
    </sheetView>
  </sheetViews>
  <sheetFormatPr defaultColWidth="9.21875" defaultRowHeight="14.4" x14ac:dyDescent="0.3"/>
  <cols>
    <col min="1" max="1" width="4.88671875" style="27" customWidth="1"/>
    <col min="2" max="2" width="15.21875" style="27" customWidth="1"/>
    <col min="3" max="3" width="48.77734375" style="27" bestFit="1" customWidth="1"/>
    <col min="4" max="4" width="24.5546875" style="27" bestFit="1" customWidth="1"/>
    <col min="5" max="5" width="36.21875" style="27" bestFit="1" customWidth="1"/>
    <col min="6" max="6" width="25.5546875" style="39" customWidth="1"/>
    <col min="7" max="7" width="69" style="27" bestFit="1" customWidth="1"/>
    <col min="8" max="8" width="117.88671875" style="27" customWidth="1"/>
    <col min="9" max="9" width="45.109375" style="27" bestFit="1" customWidth="1"/>
    <col min="10" max="10" width="33.6640625" style="27" bestFit="1" customWidth="1"/>
    <col min="11" max="11" width="39.88671875" style="27" customWidth="1"/>
    <col min="12" max="12" width="15.44140625" style="27" customWidth="1"/>
    <col min="13" max="14" width="11" style="27" bestFit="1" customWidth="1"/>
    <col min="15" max="15" width="21.88671875" style="27" bestFit="1" customWidth="1"/>
    <col min="16" max="16" width="14.21875" style="27" bestFit="1" customWidth="1"/>
    <col min="17" max="17" width="15.44140625" style="27" bestFit="1" customWidth="1"/>
    <col min="18" max="18" width="18.109375" style="27" bestFit="1" customWidth="1"/>
    <col min="19" max="19" width="11.6640625" style="27" bestFit="1" customWidth="1"/>
    <col min="20" max="20" width="13.21875" style="27" bestFit="1" customWidth="1"/>
    <col min="21" max="21" width="18.109375" style="27" bestFit="1" customWidth="1"/>
    <col min="22" max="22" width="8.21875" style="27" bestFit="1" customWidth="1"/>
    <col min="23" max="23" width="13.21875" style="27" bestFit="1" customWidth="1"/>
    <col min="24" max="24" width="18.109375" style="27" bestFit="1" customWidth="1"/>
    <col min="25" max="25" width="67.21875" style="27" bestFit="1" customWidth="1"/>
    <col min="26" max="26" width="15.88671875" style="27" bestFit="1" customWidth="1"/>
    <col min="27" max="27" width="47.21875" style="27" bestFit="1" customWidth="1"/>
    <col min="28" max="28" width="15.88671875" style="27" bestFit="1" customWidth="1"/>
    <col min="29" max="29" width="60.6640625" style="27" bestFit="1" customWidth="1"/>
    <col min="30" max="30" width="116" style="27" customWidth="1"/>
    <col min="31" max="31" width="17.5546875" style="27" customWidth="1"/>
    <col min="32" max="32" width="19.5546875" style="27" customWidth="1"/>
    <col min="33" max="33" width="25.5546875" style="27" bestFit="1" customWidth="1"/>
    <col min="34" max="34" width="22.109375" style="27" bestFit="1" customWidth="1"/>
    <col min="35" max="35" width="39.33203125" style="27" bestFit="1" customWidth="1"/>
    <col min="36" max="36" width="20.5546875" style="27" bestFit="1" customWidth="1"/>
    <col min="37" max="37" width="15.21875" style="27" bestFit="1" customWidth="1"/>
    <col min="38" max="39" width="72.88671875" style="27" customWidth="1"/>
    <col min="40" max="40" width="11.77734375" style="27" bestFit="1" customWidth="1"/>
    <col min="41" max="41" width="10.6640625" style="27" bestFit="1" customWidth="1"/>
    <col min="42" max="42" width="19.33203125" style="27" bestFit="1" customWidth="1"/>
    <col min="43" max="43" width="34.6640625" style="27" bestFit="1" customWidth="1"/>
    <col min="44" max="44" width="48.21875" style="27" bestFit="1" customWidth="1"/>
    <col min="45" max="45" width="34.6640625" style="27" bestFit="1" customWidth="1"/>
    <col min="46" max="46" width="53.44140625" style="27" bestFit="1" customWidth="1"/>
    <col min="47" max="47" width="21.5546875" style="27" customWidth="1"/>
    <col min="48" max="48" width="19.6640625" style="27" customWidth="1"/>
    <col min="49" max="49" width="24" style="27" customWidth="1"/>
    <col min="50" max="16384" width="9.21875" style="27"/>
  </cols>
  <sheetData>
    <row r="1" spans="1:49" ht="21" x14ac:dyDescent="0.35">
      <c r="A1" s="30" t="str">
        <f>CONCATENATE('Daftar Form'!H5," - ",'Daftar Form'!G5)</f>
        <v>01A - Laporan Penerapan SAF yang mencakup informasi kejadian fraud dan informasi pelaku fraud</v>
      </c>
    </row>
    <row r="2" spans="1:49" s="60" customFormat="1" ht="15.6" x14ac:dyDescent="0.3">
      <c r="A2" s="115" t="s">
        <v>12</v>
      </c>
      <c r="B2" s="115" t="s">
        <v>58</v>
      </c>
      <c r="C2" s="115" t="s">
        <v>59</v>
      </c>
      <c r="D2" s="115" t="s">
        <v>60</v>
      </c>
      <c r="E2" s="116" t="s">
        <v>61</v>
      </c>
      <c r="F2" s="117"/>
      <c r="G2" s="115" t="s">
        <v>1399</v>
      </c>
      <c r="H2" s="118" t="s">
        <v>28</v>
      </c>
      <c r="I2" s="116" t="s">
        <v>62</v>
      </c>
      <c r="J2" s="117"/>
      <c r="K2" s="118" t="s">
        <v>63</v>
      </c>
      <c r="L2" s="118" t="s">
        <v>64</v>
      </c>
      <c r="M2" s="116" t="s">
        <v>65</v>
      </c>
      <c r="N2" s="121"/>
      <c r="O2" s="117"/>
      <c r="P2" s="116" t="s">
        <v>66</v>
      </c>
      <c r="Q2" s="121"/>
      <c r="R2" s="121"/>
      <c r="S2" s="121"/>
      <c r="T2" s="121"/>
      <c r="U2" s="121"/>
      <c r="V2" s="121"/>
      <c r="W2" s="121"/>
      <c r="X2" s="117"/>
      <c r="Y2" s="116" t="s">
        <v>67</v>
      </c>
      <c r="Z2" s="117"/>
      <c r="AA2" s="116" t="s">
        <v>68</v>
      </c>
      <c r="AB2" s="121"/>
      <c r="AC2" s="116" t="s">
        <v>69</v>
      </c>
      <c r="AD2" s="121"/>
      <c r="AE2" s="121"/>
      <c r="AF2" s="117"/>
      <c r="AG2" s="116" t="s">
        <v>70</v>
      </c>
      <c r="AH2" s="121"/>
      <c r="AI2" s="121"/>
      <c r="AJ2" s="121"/>
      <c r="AK2" s="121"/>
      <c r="AL2" s="121"/>
      <c r="AM2" s="121"/>
      <c r="AN2" s="121"/>
      <c r="AO2" s="121"/>
      <c r="AP2" s="121"/>
      <c r="AQ2" s="121"/>
      <c r="AR2" s="121"/>
      <c r="AS2" s="121"/>
      <c r="AT2" s="121"/>
      <c r="AU2" s="121"/>
      <c r="AV2" s="117"/>
      <c r="AW2" s="118" t="s">
        <v>1401</v>
      </c>
    </row>
    <row r="3" spans="1:49" s="60" customFormat="1" ht="15.6" x14ac:dyDescent="0.3">
      <c r="A3" s="115"/>
      <c r="B3" s="115"/>
      <c r="C3" s="115"/>
      <c r="D3" s="115"/>
      <c r="E3" s="118" t="s">
        <v>61</v>
      </c>
      <c r="F3" s="118" t="s">
        <v>72</v>
      </c>
      <c r="G3" s="115"/>
      <c r="H3" s="120"/>
      <c r="I3" s="118" t="s">
        <v>62</v>
      </c>
      <c r="J3" s="118" t="s">
        <v>73</v>
      </c>
      <c r="K3" s="120"/>
      <c r="L3" s="120"/>
      <c r="M3" s="116" t="s">
        <v>74</v>
      </c>
      <c r="N3" s="117"/>
      <c r="O3" s="118" t="s">
        <v>75</v>
      </c>
      <c r="P3" s="116" t="s">
        <v>76</v>
      </c>
      <c r="Q3" s="121"/>
      <c r="R3" s="117"/>
      <c r="S3" s="116" t="s">
        <v>77</v>
      </c>
      <c r="T3" s="121"/>
      <c r="U3" s="117"/>
      <c r="V3" s="116" t="s">
        <v>78</v>
      </c>
      <c r="W3" s="121"/>
      <c r="X3" s="117"/>
      <c r="Y3" s="118" t="s">
        <v>67</v>
      </c>
      <c r="Z3" s="118" t="s">
        <v>79</v>
      </c>
      <c r="AA3" s="118" t="s">
        <v>68</v>
      </c>
      <c r="AB3" s="118" t="s">
        <v>79</v>
      </c>
      <c r="AC3" s="118" t="s">
        <v>69</v>
      </c>
      <c r="AD3" s="118" t="s">
        <v>79</v>
      </c>
      <c r="AE3" s="118" t="s">
        <v>80</v>
      </c>
      <c r="AF3" s="118" t="s">
        <v>81</v>
      </c>
      <c r="AG3" s="118" t="s">
        <v>1402</v>
      </c>
      <c r="AH3" s="116" t="s">
        <v>82</v>
      </c>
      <c r="AI3" s="121"/>
      <c r="AJ3" s="121"/>
      <c r="AK3" s="121"/>
      <c r="AL3" s="121"/>
      <c r="AM3" s="121"/>
      <c r="AN3" s="121"/>
      <c r="AO3" s="117"/>
      <c r="AP3" s="118" t="s">
        <v>83</v>
      </c>
      <c r="AQ3" s="116" t="s">
        <v>84</v>
      </c>
      <c r="AR3" s="121"/>
      <c r="AS3" s="121"/>
      <c r="AT3" s="117"/>
      <c r="AU3" s="118" t="s">
        <v>85</v>
      </c>
      <c r="AV3" s="118" t="s">
        <v>86</v>
      </c>
      <c r="AW3" s="120"/>
    </row>
    <row r="4" spans="1:49" s="60" customFormat="1" ht="46.8" x14ac:dyDescent="0.3">
      <c r="A4" s="115"/>
      <c r="B4" s="115"/>
      <c r="C4" s="115"/>
      <c r="D4" s="115"/>
      <c r="E4" s="119"/>
      <c r="F4" s="119"/>
      <c r="G4" s="115"/>
      <c r="H4" s="119"/>
      <c r="I4" s="119"/>
      <c r="J4" s="119"/>
      <c r="K4" s="119"/>
      <c r="L4" s="119"/>
      <c r="M4" s="59" t="s">
        <v>87</v>
      </c>
      <c r="N4" s="59" t="s">
        <v>88</v>
      </c>
      <c r="O4" s="119"/>
      <c r="P4" s="59" t="s">
        <v>89</v>
      </c>
      <c r="Q4" s="59" t="s">
        <v>90</v>
      </c>
      <c r="R4" s="59" t="s">
        <v>91</v>
      </c>
      <c r="S4" s="59" t="s">
        <v>89</v>
      </c>
      <c r="T4" s="59" t="s">
        <v>90</v>
      </c>
      <c r="U4" s="59" t="s">
        <v>91</v>
      </c>
      <c r="V4" s="59" t="s">
        <v>89</v>
      </c>
      <c r="W4" s="59" t="s">
        <v>90</v>
      </c>
      <c r="X4" s="59" t="s">
        <v>91</v>
      </c>
      <c r="Y4" s="119"/>
      <c r="Z4" s="119"/>
      <c r="AA4" s="119"/>
      <c r="AB4" s="119"/>
      <c r="AC4" s="119"/>
      <c r="AD4" s="119"/>
      <c r="AE4" s="119"/>
      <c r="AF4" s="119"/>
      <c r="AG4" s="119"/>
      <c r="AH4" s="59" t="s">
        <v>92</v>
      </c>
      <c r="AI4" s="59" t="s">
        <v>93</v>
      </c>
      <c r="AJ4" s="59" t="s">
        <v>94</v>
      </c>
      <c r="AK4" s="59" t="s">
        <v>95</v>
      </c>
      <c r="AL4" s="59" t="s">
        <v>96</v>
      </c>
      <c r="AM4" s="59" t="s">
        <v>1397</v>
      </c>
      <c r="AN4" s="59" t="s">
        <v>97</v>
      </c>
      <c r="AO4" s="59" t="s">
        <v>98</v>
      </c>
      <c r="AP4" s="119"/>
      <c r="AQ4" s="59" t="s">
        <v>99</v>
      </c>
      <c r="AR4" s="59" t="s">
        <v>100</v>
      </c>
      <c r="AS4" s="59" t="s">
        <v>101</v>
      </c>
      <c r="AT4" s="59" t="s">
        <v>100</v>
      </c>
      <c r="AU4" s="119"/>
      <c r="AV4" s="119"/>
      <c r="AW4" s="119"/>
    </row>
    <row r="5" spans="1:49" x14ac:dyDescent="0.3">
      <c r="A5" s="26"/>
      <c r="B5" s="29">
        <v>2</v>
      </c>
      <c r="C5" s="29">
        <f>B5+1</f>
        <v>3</v>
      </c>
      <c r="D5" s="29">
        <v>4</v>
      </c>
      <c r="E5" s="29">
        <v>5</v>
      </c>
      <c r="F5" s="29">
        <v>6</v>
      </c>
      <c r="G5" s="29">
        <v>7</v>
      </c>
      <c r="H5" s="29">
        <v>8</v>
      </c>
      <c r="I5" s="29">
        <v>9</v>
      </c>
      <c r="J5" s="29">
        <v>10</v>
      </c>
      <c r="K5" s="29">
        <v>11</v>
      </c>
      <c r="L5" s="29">
        <v>12</v>
      </c>
      <c r="M5" s="29">
        <v>13</v>
      </c>
      <c r="N5" s="29">
        <v>14</v>
      </c>
      <c r="O5" s="29">
        <v>15</v>
      </c>
      <c r="P5" s="29">
        <v>16</v>
      </c>
      <c r="Q5" s="29">
        <v>17</v>
      </c>
      <c r="R5" s="29">
        <v>18</v>
      </c>
      <c r="S5" s="29">
        <v>19</v>
      </c>
      <c r="T5" s="29">
        <v>20</v>
      </c>
      <c r="U5" s="29">
        <v>21</v>
      </c>
      <c r="V5" s="29">
        <v>22</v>
      </c>
      <c r="W5" s="29">
        <v>23</v>
      </c>
      <c r="X5" s="29">
        <v>24</v>
      </c>
      <c r="Y5" s="29">
        <v>25</v>
      </c>
      <c r="Z5" s="29">
        <v>26</v>
      </c>
      <c r="AA5" s="29">
        <v>27</v>
      </c>
      <c r="AB5" s="29">
        <v>28</v>
      </c>
      <c r="AC5" s="29">
        <v>29</v>
      </c>
      <c r="AD5" s="29">
        <v>30</v>
      </c>
      <c r="AE5" s="29">
        <v>31</v>
      </c>
      <c r="AF5" s="29">
        <v>32</v>
      </c>
      <c r="AG5" s="29">
        <v>33</v>
      </c>
      <c r="AH5" s="29">
        <v>34</v>
      </c>
      <c r="AI5" s="29">
        <v>35</v>
      </c>
      <c r="AJ5" s="29">
        <v>36</v>
      </c>
      <c r="AK5" s="29">
        <v>37</v>
      </c>
      <c r="AL5" s="29">
        <v>38</v>
      </c>
      <c r="AM5" s="29">
        <v>39</v>
      </c>
      <c r="AN5" s="29">
        <v>40</v>
      </c>
      <c r="AO5" s="29">
        <v>41</v>
      </c>
      <c r="AP5" s="29">
        <v>42</v>
      </c>
      <c r="AQ5" s="29">
        <v>43</v>
      </c>
      <c r="AR5" s="29">
        <v>44</v>
      </c>
      <c r="AS5" s="29">
        <v>45</v>
      </c>
      <c r="AT5" s="29">
        <v>46</v>
      </c>
      <c r="AU5" s="29">
        <v>47</v>
      </c>
      <c r="AV5" s="29">
        <v>48</v>
      </c>
      <c r="AW5" s="29">
        <v>49</v>
      </c>
    </row>
    <row r="6" spans="1:49" s="78" customFormat="1" ht="57.6" x14ac:dyDescent="0.3">
      <c r="A6" s="72" t="s">
        <v>1431</v>
      </c>
      <c r="B6" s="73" t="s">
        <v>1451</v>
      </c>
      <c r="C6" s="74" t="s">
        <v>1488</v>
      </c>
      <c r="D6" s="37" t="s">
        <v>1480</v>
      </c>
      <c r="E6" s="74" t="s">
        <v>1458</v>
      </c>
      <c r="F6" s="75"/>
      <c r="G6" s="74" t="s">
        <v>1435</v>
      </c>
      <c r="H6" s="68" t="s">
        <v>1493</v>
      </c>
      <c r="I6" s="74" t="s">
        <v>1461</v>
      </c>
      <c r="J6" s="65" t="s">
        <v>635</v>
      </c>
      <c r="K6" s="68" t="s">
        <v>1463</v>
      </c>
      <c r="L6" s="74" t="s">
        <v>1430</v>
      </c>
      <c r="M6" s="68" t="s">
        <v>1505</v>
      </c>
      <c r="N6" s="68" t="s">
        <v>1506</v>
      </c>
      <c r="O6" s="82" t="s">
        <v>1507</v>
      </c>
      <c r="P6" s="87">
        <v>441912635</v>
      </c>
      <c r="Q6" s="87">
        <v>275604923</v>
      </c>
      <c r="R6" s="88">
        <v>717517558</v>
      </c>
      <c r="S6" s="75"/>
      <c r="T6" s="75"/>
      <c r="U6" s="75"/>
      <c r="V6" s="75"/>
      <c r="W6" s="75"/>
      <c r="X6" s="75"/>
      <c r="Y6" s="74" t="s">
        <v>1437</v>
      </c>
      <c r="Z6" s="75"/>
      <c r="AA6" s="74" t="s">
        <v>1439</v>
      </c>
      <c r="AB6" s="75"/>
      <c r="AC6" s="74" t="s">
        <v>1476</v>
      </c>
      <c r="AD6" s="71" t="s">
        <v>1595</v>
      </c>
      <c r="AE6" s="71" t="s">
        <v>1479</v>
      </c>
      <c r="AF6" s="75" t="s">
        <v>1478</v>
      </c>
      <c r="AG6" s="74" t="s">
        <v>1440</v>
      </c>
      <c r="AH6" s="68" t="s">
        <v>1527</v>
      </c>
      <c r="AI6" s="74" t="s">
        <v>1442</v>
      </c>
      <c r="AJ6" s="68" t="s">
        <v>1539</v>
      </c>
      <c r="AK6" s="74" t="s">
        <v>1448</v>
      </c>
      <c r="AL6" s="68" t="s">
        <v>1548</v>
      </c>
      <c r="AM6" s="68" t="s">
        <v>1548</v>
      </c>
      <c r="AN6" s="68" t="s">
        <v>1549</v>
      </c>
      <c r="AO6" s="68" t="s">
        <v>1550</v>
      </c>
      <c r="AP6" s="74" t="s">
        <v>1443</v>
      </c>
      <c r="AQ6" s="74" t="s">
        <v>1444</v>
      </c>
      <c r="AR6" s="68" t="s">
        <v>1573</v>
      </c>
      <c r="AS6" s="74" t="s">
        <v>1444</v>
      </c>
      <c r="AT6" s="68" t="s">
        <v>1581</v>
      </c>
      <c r="AU6" s="74"/>
      <c r="AV6" s="68" t="s">
        <v>1587</v>
      </c>
      <c r="AW6" s="122" t="s">
        <v>1450</v>
      </c>
    </row>
    <row r="7" spans="1:49" s="78" customFormat="1" ht="28.8" x14ac:dyDescent="0.3">
      <c r="A7" s="72" t="s">
        <v>1432</v>
      </c>
      <c r="B7" s="73" t="s">
        <v>1451</v>
      </c>
      <c r="C7" s="74" t="s">
        <v>1488</v>
      </c>
      <c r="D7" s="37" t="s">
        <v>1481</v>
      </c>
      <c r="E7" s="74" t="s">
        <v>1458</v>
      </c>
      <c r="F7" s="75"/>
      <c r="G7" s="74" t="s">
        <v>1435</v>
      </c>
      <c r="H7" s="68" t="s">
        <v>1494</v>
      </c>
      <c r="I7" s="74" t="s">
        <v>1461</v>
      </c>
      <c r="J7" s="65" t="s">
        <v>633</v>
      </c>
      <c r="K7" s="68" t="s">
        <v>1462</v>
      </c>
      <c r="L7" s="74" t="s">
        <v>1430</v>
      </c>
      <c r="M7" s="68" t="s">
        <v>1508</v>
      </c>
      <c r="N7" s="68" t="s">
        <v>1509</v>
      </c>
      <c r="O7" s="82" t="s">
        <v>1510</v>
      </c>
      <c r="P7" s="83">
        <v>530615630</v>
      </c>
      <c r="Q7" s="84">
        <v>637674893</v>
      </c>
      <c r="R7" s="89">
        <v>1115439325</v>
      </c>
      <c r="S7" s="75"/>
      <c r="T7" s="75"/>
      <c r="U7" s="75"/>
      <c r="V7" s="75"/>
      <c r="W7" s="75"/>
      <c r="X7" s="75"/>
      <c r="Y7" s="74" t="s">
        <v>1437</v>
      </c>
      <c r="Z7" s="75"/>
      <c r="AA7" s="74" t="s">
        <v>1439</v>
      </c>
      <c r="AB7" s="75"/>
      <c r="AC7" s="74" t="s">
        <v>1593</v>
      </c>
      <c r="AD7" s="71" t="s">
        <v>1596</v>
      </c>
      <c r="AE7" s="71" t="s">
        <v>1479</v>
      </c>
      <c r="AF7" s="75" t="s">
        <v>1478</v>
      </c>
      <c r="AG7" s="74" t="s">
        <v>1440</v>
      </c>
      <c r="AH7" s="68" t="s">
        <v>1528</v>
      </c>
      <c r="AI7" s="74" t="s">
        <v>1442</v>
      </c>
      <c r="AJ7" s="68" t="s">
        <v>1540</v>
      </c>
      <c r="AK7" s="74" t="s">
        <v>1448</v>
      </c>
      <c r="AL7" s="68" t="s">
        <v>1551</v>
      </c>
      <c r="AM7" s="68" t="s">
        <v>1551</v>
      </c>
      <c r="AN7" s="68" t="s">
        <v>1472</v>
      </c>
      <c r="AO7" s="68" t="s">
        <v>1552</v>
      </c>
      <c r="AP7" s="74" t="s">
        <v>1443</v>
      </c>
      <c r="AQ7" s="74" t="s">
        <v>1444</v>
      </c>
      <c r="AR7" s="68" t="s">
        <v>1574</v>
      </c>
      <c r="AS7" s="74" t="s">
        <v>1444</v>
      </c>
      <c r="AT7" s="68" t="s">
        <v>1575</v>
      </c>
      <c r="AU7" s="74"/>
      <c r="AV7" s="68" t="s">
        <v>1585</v>
      </c>
      <c r="AW7" s="122" t="s">
        <v>1450</v>
      </c>
    </row>
    <row r="8" spans="1:49" s="78" customFormat="1" ht="28.8" x14ac:dyDescent="0.3">
      <c r="A8" s="72" t="s">
        <v>1433</v>
      </c>
      <c r="B8" s="73" t="s">
        <v>1451</v>
      </c>
      <c r="C8" s="74" t="s">
        <v>1488</v>
      </c>
      <c r="D8" s="37" t="s">
        <v>1482</v>
      </c>
      <c r="E8" s="74" t="s">
        <v>1458</v>
      </c>
      <c r="F8" s="75"/>
      <c r="G8" s="74" t="s">
        <v>1435</v>
      </c>
      <c r="H8" s="68" t="s">
        <v>1495</v>
      </c>
      <c r="I8" s="74" t="s">
        <v>1436</v>
      </c>
      <c r="J8" s="65" t="s">
        <v>693</v>
      </c>
      <c r="K8" s="68" t="s">
        <v>1499</v>
      </c>
      <c r="L8" s="74" t="s">
        <v>1430</v>
      </c>
      <c r="M8" s="68" t="s">
        <v>1464</v>
      </c>
      <c r="N8" s="68" t="s">
        <v>1511</v>
      </c>
      <c r="O8" s="82" t="s">
        <v>1510</v>
      </c>
      <c r="P8" s="85">
        <v>0</v>
      </c>
      <c r="Q8" s="83">
        <v>836168693</v>
      </c>
      <c r="R8" s="89">
        <v>705862269</v>
      </c>
      <c r="S8" s="75"/>
      <c r="T8" s="75"/>
      <c r="U8" s="75"/>
      <c r="V8" s="75"/>
      <c r="W8" s="75"/>
      <c r="X8" s="75"/>
      <c r="Y8" s="74" t="s">
        <v>1437</v>
      </c>
      <c r="Z8" s="75"/>
      <c r="AA8" s="74" t="s">
        <v>1439</v>
      </c>
      <c r="AB8" s="75"/>
      <c r="AC8" s="74" t="s">
        <v>1593</v>
      </c>
      <c r="AD8" s="71" t="s">
        <v>1596</v>
      </c>
      <c r="AE8" s="71" t="s">
        <v>1479</v>
      </c>
      <c r="AF8" s="75" t="s">
        <v>1478</v>
      </c>
      <c r="AG8" s="74" t="s">
        <v>1440</v>
      </c>
      <c r="AH8" s="68" t="s">
        <v>1528</v>
      </c>
      <c r="AI8" s="74" t="s">
        <v>1442</v>
      </c>
      <c r="AJ8" s="68" t="s">
        <v>1540</v>
      </c>
      <c r="AK8" s="74" t="s">
        <v>1448</v>
      </c>
      <c r="AL8" s="68" t="s">
        <v>1551</v>
      </c>
      <c r="AM8" s="68" t="s">
        <v>1551</v>
      </c>
      <c r="AN8" s="68" t="s">
        <v>1472</v>
      </c>
      <c r="AO8" s="68" t="s">
        <v>1552</v>
      </c>
      <c r="AP8" s="74" t="s">
        <v>1443</v>
      </c>
      <c r="AQ8" s="74" t="s">
        <v>1444</v>
      </c>
      <c r="AR8" s="68" t="s">
        <v>1575</v>
      </c>
      <c r="AS8" s="74" t="s">
        <v>1444</v>
      </c>
      <c r="AT8" s="68" t="s">
        <v>1575</v>
      </c>
      <c r="AU8" s="80"/>
      <c r="AV8" s="68" t="s">
        <v>1585</v>
      </c>
      <c r="AW8" s="122" t="s">
        <v>1450</v>
      </c>
    </row>
    <row r="9" spans="1:49" s="78" customFormat="1" ht="28.8" x14ac:dyDescent="0.3">
      <c r="A9" s="72" t="s">
        <v>1434</v>
      </c>
      <c r="B9" s="73" t="s">
        <v>1451</v>
      </c>
      <c r="C9" s="74" t="s">
        <v>1488</v>
      </c>
      <c r="D9" s="37" t="s">
        <v>1483</v>
      </c>
      <c r="E9" s="74" t="s">
        <v>1458</v>
      </c>
      <c r="F9" s="75"/>
      <c r="G9" s="74" t="s">
        <v>1435</v>
      </c>
      <c r="H9" s="68" t="s">
        <v>1496</v>
      </c>
      <c r="I9" s="74" t="s">
        <v>1436</v>
      </c>
      <c r="J9" s="65" t="s">
        <v>643</v>
      </c>
      <c r="K9" s="68" t="s">
        <v>1500</v>
      </c>
      <c r="L9" s="74" t="s">
        <v>1430</v>
      </c>
      <c r="M9" s="68" t="s">
        <v>1512</v>
      </c>
      <c r="N9" s="68" t="s">
        <v>1513</v>
      </c>
      <c r="O9" s="82" t="s">
        <v>1510</v>
      </c>
      <c r="P9" s="83">
        <v>302833637</v>
      </c>
      <c r="Q9" s="84">
        <v>435448641</v>
      </c>
      <c r="R9" s="89">
        <v>694618538</v>
      </c>
      <c r="S9" s="75"/>
      <c r="T9" s="75"/>
      <c r="U9" s="75"/>
      <c r="V9" s="75"/>
      <c r="W9" s="75"/>
      <c r="X9" s="75"/>
      <c r="Y9" s="74" t="s">
        <v>1466</v>
      </c>
      <c r="Z9" s="75"/>
      <c r="AA9" s="74" t="s">
        <v>1439</v>
      </c>
      <c r="AB9" s="75"/>
      <c r="AC9" s="74" t="s">
        <v>1593</v>
      </c>
      <c r="AD9" s="71" t="s">
        <v>1596</v>
      </c>
      <c r="AE9" s="71" t="s">
        <v>1479</v>
      </c>
      <c r="AF9" s="75" t="s">
        <v>1478</v>
      </c>
      <c r="AG9" s="74" t="s">
        <v>1440</v>
      </c>
      <c r="AH9" s="68" t="s">
        <v>1529</v>
      </c>
      <c r="AI9" s="74" t="s">
        <v>1442</v>
      </c>
      <c r="AJ9" s="68" t="s">
        <v>1541</v>
      </c>
      <c r="AK9" s="74" t="s">
        <v>1448</v>
      </c>
      <c r="AL9" s="68" t="s">
        <v>1553</v>
      </c>
      <c r="AM9" s="68" t="s">
        <v>1553</v>
      </c>
      <c r="AN9" s="68" t="s">
        <v>1472</v>
      </c>
      <c r="AO9" s="68" t="s">
        <v>1554</v>
      </c>
      <c r="AP9" s="74" t="s">
        <v>1443</v>
      </c>
      <c r="AQ9" s="74" t="s">
        <v>1444</v>
      </c>
      <c r="AR9" s="68" t="s">
        <v>1576</v>
      </c>
      <c r="AS9" s="74" t="s">
        <v>1444</v>
      </c>
      <c r="AT9" s="68" t="s">
        <v>1582</v>
      </c>
      <c r="AU9" s="80"/>
      <c r="AV9" s="68" t="s">
        <v>1585</v>
      </c>
      <c r="AW9" s="65" t="s">
        <v>1450</v>
      </c>
    </row>
    <row r="10" spans="1:49" s="78" customFormat="1" ht="57.6" x14ac:dyDescent="0.3">
      <c r="A10" s="72" t="s">
        <v>1445</v>
      </c>
      <c r="B10" s="73" t="s">
        <v>1451</v>
      </c>
      <c r="C10" s="74" t="s">
        <v>1488</v>
      </c>
      <c r="D10" s="37" t="s">
        <v>1484</v>
      </c>
      <c r="E10" s="74" t="s">
        <v>1491</v>
      </c>
      <c r="F10" s="75"/>
      <c r="G10" s="74" t="s">
        <v>1492</v>
      </c>
      <c r="H10" s="68" t="s">
        <v>1497</v>
      </c>
      <c r="I10" s="74" t="s">
        <v>1460</v>
      </c>
      <c r="J10" s="65" t="s">
        <v>693</v>
      </c>
      <c r="K10" s="68" t="s">
        <v>1501</v>
      </c>
      <c r="L10" s="74" t="s">
        <v>1430</v>
      </c>
      <c r="M10" s="68" t="s">
        <v>1514</v>
      </c>
      <c r="N10" s="68" t="s">
        <v>1515</v>
      </c>
      <c r="O10" s="82" t="s">
        <v>1516</v>
      </c>
      <c r="P10" s="83">
        <v>627434972</v>
      </c>
      <c r="Q10" s="84">
        <v>0</v>
      </c>
      <c r="R10" s="89">
        <v>503035240</v>
      </c>
      <c r="S10" s="75"/>
      <c r="T10" s="75"/>
      <c r="U10" s="75"/>
      <c r="V10" s="75"/>
      <c r="W10" s="75"/>
      <c r="X10" s="75"/>
      <c r="Y10" s="74" t="s">
        <v>1438</v>
      </c>
      <c r="Z10" s="75"/>
      <c r="AA10" s="74" t="s">
        <v>1439</v>
      </c>
      <c r="AB10" s="75"/>
      <c r="AC10" s="74" t="s">
        <v>1476</v>
      </c>
      <c r="AD10" s="71" t="s">
        <v>1591</v>
      </c>
      <c r="AE10" s="71" t="s">
        <v>1479</v>
      </c>
      <c r="AF10" s="75" t="s">
        <v>1478</v>
      </c>
      <c r="AG10" s="74" t="s">
        <v>1440</v>
      </c>
      <c r="AH10" s="68" t="s">
        <v>1530</v>
      </c>
      <c r="AI10" s="74" t="s">
        <v>1442</v>
      </c>
      <c r="AJ10" s="68" t="s">
        <v>1542</v>
      </c>
      <c r="AK10" s="74" t="s">
        <v>1441</v>
      </c>
      <c r="AL10" s="68" t="s">
        <v>1555</v>
      </c>
      <c r="AM10" s="68" t="s">
        <v>1555</v>
      </c>
      <c r="AN10" s="68" t="s">
        <v>1472</v>
      </c>
      <c r="AO10" s="68" t="s">
        <v>1556</v>
      </c>
      <c r="AP10" s="74" t="s">
        <v>1443</v>
      </c>
      <c r="AQ10" s="74" t="s">
        <v>1449</v>
      </c>
      <c r="AR10" s="68" t="s">
        <v>1577</v>
      </c>
      <c r="AS10" s="74" t="s">
        <v>1449</v>
      </c>
      <c r="AT10" s="68" t="s">
        <v>1583</v>
      </c>
      <c r="AU10" s="80"/>
      <c r="AV10" s="68" t="s">
        <v>1587</v>
      </c>
      <c r="AW10" s="65" t="s">
        <v>1450</v>
      </c>
    </row>
    <row r="11" spans="1:49" s="78" customFormat="1" ht="43.2" x14ac:dyDescent="0.3">
      <c r="A11" s="72" t="s">
        <v>1446</v>
      </c>
      <c r="B11" s="73" t="s">
        <v>1451</v>
      </c>
      <c r="C11" s="74" t="s">
        <v>1489</v>
      </c>
      <c r="D11" s="37" t="s">
        <v>1485</v>
      </c>
      <c r="E11" s="74" t="s">
        <v>1458</v>
      </c>
      <c r="F11" s="75"/>
      <c r="G11" s="74" t="s">
        <v>1435</v>
      </c>
      <c r="H11" s="68" t="s">
        <v>1589</v>
      </c>
      <c r="I11" s="74" t="s">
        <v>1436</v>
      </c>
      <c r="J11" s="65" t="s">
        <v>639</v>
      </c>
      <c r="K11" s="68" t="s">
        <v>1502</v>
      </c>
      <c r="L11" s="74" t="s">
        <v>1430</v>
      </c>
      <c r="M11" s="68" t="s">
        <v>1517</v>
      </c>
      <c r="N11" s="68" t="s">
        <v>1518</v>
      </c>
      <c r="O11" s="68" t="s">
        <v>1519</v>
      </c>
      <c r="P11" s="83">
        <v>959825967</v>
      </c>
      <c r="Q11" s="84">
        <v>0</v>
      </c>
      <c r="R11" s="89">
        <v>833038276</v>
      </c>
      <c r="S11" s="75"/>
      <c r="T11" s="75"/>
      <c r="U11" s="75"/>
      <c r="V11" s="75"/>
      <c r="W11" s="75"/>
      <c r="X11" s="75"/>
      <c r="Y11" s="74" t="s">
        <v>1437</v>
      </c>
      <c r="Z11" s="75"/>
      <c r="AA11" s="74" t="s">
        <v>1439</v>
      </c>
      <c r="AB11" s="75"/>
      <c r="AC11" s="74" t="s">
        <v>1593</v>
      </c>
      <c r="AD11" s="71" t="s">
        <v>1596</v>
      </c>
      <c r="AE11" s="71" t="s">
        <v>1479</v>
      </c>
      <c r="AF11" s="75" t="s">
        <v>1478</v>
      </c>
      <c r="AG11" s="74" t="s">
        <v>1440</v>
      </c>
      <c r="AH11" s="68" t="s">
        <v>1531</v>
      </c>
      <c r="AI11" s="74" t="s">
        <v>1442</v>
      </c>
      <c r="AJ11" s="68" t="s">
        <v>1543</v>
      </c>
      <c r="AK11" s="74" t="s">
        <v>1448</v>
      </c>
      <c r="AL11" s="68" t="s">
        <v>1557</v>
      </c>
      <c r="AM11" s="68" t="s">
        <v>1558</v>
      </c>
      <c r="AN11" s="68" t="s">
        <v>1559</v>
      </c>
      <c r="AO11" s="68" t="s">
        <v>1560</v>
      </c>
      <c r="AP11" s="74" t="s">
        <v>1443</v>
      </c>
      <c r="AQ11" s="74" t="s">
        <v>1449</v>
      </c>
      <c r="AR11" s="68" t="s">
        <v>1578</v>
      </c>
      <c r="AS11" s="74" t="s">
        <v>1449</v>
      </c>
      <c r="AT11" s="68" t="s">
        <v>1583</v>
      </c>
      <c r="AU11" s="80"/>
      <c r="AV11" s="68" t="s">
        <v>1587</v>
      </c>
      <c r="AW11" s="65" t="s">
        <v>1450</v>
      </c>
    </row>
    <row r="12" spans="1:49" s="78" customFormat="1" ht="28.8" x14ac:dyDescent="0.3">
      <c r="A12" s="72" t="s">
        <v>1447</v>
      </c>
      <c r="B12" s="73" t="s">
        <v>1451</v>
      </c>
      <c r="C12" s="74" t="s">
        <v>1489</v>
      </c>
      <c r="D12" s="37" t="s">
        <v>1485</v>
      </c>
      <c r="E12" s="74"/>
      <c r="F12" s="75"/>
      <c r="G12" s="74"/>
      <c r="H12" s="68"/>
      <c r="I12" s="74"/>
      <c r="J12" s="65"/>
      <c r="K12" s="37"/>
      <c r="L12" s="74" t="s">
        <v>1430</v>
      </c>
      <c r="M12" s="68"/>
      <c r="N12" s="68"/>
      <c r="O12" s="68"/>
      <c r="P12" s="85">
        <v>0</v>
      </c>
      <c r="Q12" s="84">
        <v>0</v>
      </c>
      <c r="R12" s="85">
        <v>0</v>
      </c>
      <c r="S12" s="75"/>
      <c r="T12" s="75"/>
      <c r="U12" s="75"/>
      <c r="V12" s="75"/>
      <c r="W12" s="75"/>
      <c r="X12" s="75"/>
      <c r="Y12" s="74" t="s">
        <v>1437</v>
      </c>
      <c r="Z12" s="75"/>
      <c r="AA12" s="74" t="s">
        <v>1439</v>
      </c>
      <c r="AB12" s="75"/>
      <c r="AC12" s="74" t="s">
        <v>1593</v>
      </c>
      <c r="AD12" s="71" t="s">
        <v>1592</v>
      </c>
      <c r="AE12" s="71" t="s">
        <v>1479</v>
      </c>
      <c r="AF12" s="75" t="s">
        <v>1478</v>
      </c>
      <c r="AG12" s="74" t="s">
        <v>1440</v>
      </c>
      <c r="AH12" s="68" t="s">
        <v>1532</v>
      </c>
      <c r="AI12" s="74" t="s">
        <v>1442</v>
      </c>
      <c r="AJ12" s="68" t="s">
        <v>1544</v>
      </c>
      <c r="AK12" s="74" t="s">
        <v>1448</v>
      </c>
      <c r="AL12" s="68" t="s">
        <v>1561</v>
      </c>
      <c r="AM12" s="68" t="s">
        <v>1562</v>
      </c>
      <c r="AN12" s="68" t="s">
        <v>1472</v>
      </c>
      <c r="AO12" s="68" t="s">
        <v>1563</v>
      </c>
      <c r="AP12" s="74" t="s">
        <v>1443</v>
      </c>
      <c r="AQ12" s="74" t="s">
        <v>1444</v>
      </c>
      <c r="AR12" s="68" t="s">
        <v>1579</v>
      </c>
      <c r="AS12" s="74" t="s">
        <v>1444</v>
      </c>
      <c r="AT12" s="68" t="s">
        <v>1583</v>
      </c>
      <c r="AU12" s="80"/>
      <c r="AV12" s="68" t="s">
        <v>1587</v>
      </c>
      <c r="AW12" s="65" t="s">
        <v>1450</v>
      </c>
    </row>
    <row r="13" spans="1:49" ht="28.8" x14ac:dyDescent="0.3">
      <c r="A13" s="72" t="s">
        <v>1452</v>
      </c>
      <c r="B13" s="73" t="s">
        <v>1451</v>
      </c>
      <c r="C13" s="74" t="s">
        <v>1489</v>
      </c>
      <c r="D13" s="37" t="s">
        <v>1485</v>
      </c>
      <c r="E13" s="74"/>
      <c r="F13" s="76"/>
      <c r="G13" s="74"/>
      <c r="H13" s="68"/>
      <c r="I13" s="74"/>
      <c r="J13" s="65"/>
      <c r="K13" s="37"/>
      <c r="L13" s="74" t="s">
        <v>1430</v>
      </c>
      <c r="M13" s="68"/>
      <c r="N13" s="68"/>
      <c r="O13" s="68"/>
      <c r="P13" s="85">
        <v>0</v>
      </c>
      <c r="Q13" s="85">
        <v>0</v>
      </c>
      <c r="R13" s="85">
        <v>0</v>
      </c>
      <c r="S13" s="76"/>
      <c r="T13" s="76"/>
      <c r="U13" s="76"/>
      <c r="V13" s="76"/>
      <c r="W13" s="76"/>
      <c r="X13" s="76"/>
      <c r="Y13" s="74" t="s">
        <v>1465</v>
      </c>
      <c r="Z13" s="76"/>
      <c r="AA13" s="74" t="s">
        <v>1467</v>
      </c>
      <c r="AB13" s="76"/>
      <c r="AC13" s="74" t="s">
        <v>1593</v>
      </c>
      <c r="AD13" s="71" t="s">
        <v>1592</v>
      </c>
      <c r="AE13" s="71" t="s">
        <v>1479</v>
      </c>
      <c r="AF13" s="75" t="s">
        <v>1478</v>
      </c>
      <c r="AG13" s="74" t="s">
        <v>1477</v>
      </c>
      <c r="AH13" s="68" t="s">
        <v>1533</v>
      </c>
      <c r="AI13" s="74" t="s">
        <v>1442</v>
      </c>
      <c r="AJ13" s="68" t="s">
        <v>1545</v>
      </c>
      <c r="AK13" s="74" t="s">
        <v>1448</v>
      </c>
      <c r="AL13" s="68" t="s">
        <v>1564</v>
      </c>
      <c r="AM13" s="68" t="s">
        <v>1564</v>
      </c>
      <c r="AN13" s="68" t="s">
        <v>1565</v>
      </c>
      <c r="AO13" s="68" t="s">
        <v>1566</v>
      </c>
      <c r="AP13" s="74" t="s">
        <v>1443</v>
      </c>
      <c r="AQ13" s="80"/>
      <c r="AR13" s="68"/>
      <c r="AS13" s="80"/>
      <c r="AT13" s="68"/>
      <c r="AU13" s="80" t="s">
        <v>1584</v>
      </c>
      <c r="AV13" s="68" t="s">
        <v>1586</v>
      </c>
      <c r="AW13" s="65" t="s">
        <v>1473</v>
      </c>
    </row>
    <row r="14" spans="1:49" ht="142.80000000000001" customHeight="1" x14ac:dyDescent="0.3">
      <c r="A14" s="72" t="s">
        <v>1453</v>
      </c>
      <c r="B14" s="73" t="s">
        <v>1451</v>
      </c>
      <c r="C14" s="74" t="s">
        <v>1488</v>
      </c>
      <c r="D14" s="37" t="s">
        <v>1486</v>
      </c>
      <c r="E14" s="74" t="s">
        <v>1491</v>
      </c>
      <c r="F14" s="76"/>
      <c r="G14" s="74" t="s">
        <v>1492</v>
      </c>
      <c r="H14" s="68" t="s">
        <v>1498</v>
      </c>
      <c r="I14" s="74" t="s">
        <v>1461</v>
      </c>
      <c r="J14" s="65" t="s">
        <v>693</v>
      </c>
      <c r="K14" s="37" t="s">
        <v>1503</v>
      </c>
      <c r="L14" s="74" t="s">
        <v>1430</v>
      </c>
      <c r="M14" s="68" t="s">
        <v>1520</v>
      </c>
      <c r="N14" s="68" t="s">
        <v>1521</v>
      </c>
      <c r="O14" s="68" t="s">
        <v>1522</v>
      </c>
      <c r="P14" s="83">
        <v>79284485</v>
      </c>
      <c r="Q14" s="85">
        <v>0</v>
      </c>
      <c r="R14" s="83">
        <v>79284485</v>
      </c>
      <c r="S14" s="76"/>
      <c r="T14" s="76"/>
      <c r="U14" s="76"/>
      <c r="V14" s="76"/>
      <c r="W14" s="76"/>
      <c r="X14" s="76"/>
      <c r="Y14" s="74" t="s">
        <v>1437</v>
      </c>
      <c r="Z14" s="76"/>
      <c r="AA14" s="74" t="s">
        <v>1439</v>
      </c>
      <c r="AB14" s="76"/>
      <c r="AC14" s="74" t="s">
        <v>1476</v>
      </c>
      <c r="AD14" s="71" t="s">
        <v>1597</v>
      </c>
      <c r="AE14" s="71" t="s">
        <v>1479</v>
      </c>
      <c r="AF14" s="75" t="s">
        <v>1478</v>
      </c>
      <c r="AG14" s="74" t="s">
        <v>1440</v>
      </c>
      <c r="AH14" s="68" t="s">
        <v>1534</v>
      </c>
      <c r="AI14" s="74" t="s">
        <v>1442</v>
      </c>
      <c r="AJ14" s="68" t="s">
        <v>1546</v>
      </c>
      <c r="AK14" s="74" t="s">
        <v>1441</v>
      </c>
      <c r="AL14" s="68" t="s">
        <v>1567</v>
      </c>
      <c r="AM14" s="68" t="s">
        <v>1568</v>
      </c>
      <c r="AN14" s="68" t="s">
        <v>1472</v>
      </c>
      <c r="AO14" s="68" t="s">
        <v>1569</v>
      </c>
      <c r="AP14" s="74" t="s">
        <v>1443</v>
      </c>
      <c r="AQ14" s="80" t="s">
        <v>1474</v>
      </c>
      <c r="AR14" s="68" t="s">
        <v>1580</v>
      </c>
      <c r="AS14" s="80" t="s">
        <v>1449</v>
      </c>
      <c r="AT14" s="68" t="s">
        <v>1583</v>
      </c>
      <c r="AU14" s="80"/>
      <c r="AV14" s="68" t="s">
        <v>1587</v>
      </c>
      <c r="AW14" s="65" t="s">
        <v>1450</v>
      </c>
    </row>
    <row r="15" spans="1:49" ht="142.80000000000001" customHeight="1" x14ac:dyDescent="0.3">
      <c r="A15" s="72" t="s">
        <v>1454</v>
      </c>
      <c r="B15" s="73" t="s">
        <v>1451</v>
      </c>
      <c r="C15" s="74" t="s">
        <v>1490</v>
      </c>
      <c r="D15" s="37" t="s">
        <v>1487</v>
      </c>
      <c r="E15" s="74" t="s">
        <v>1458</v>
      </c>
      <c r="F15" s="76"/>
      <c r="G15" s="74" t="s">
        <v>1459</v>
      </c>
      <c r="H15" s="68" t="s">
        <v>1590</v>
      </c>
      <c r="I15" s="74" t="s">
        <v>1461</v>
      </c>
      <c r="J15" s="65" t="s">
        <v>693</v>
      </c>
      <c r="K15" s="37" t="s">
        <v>1504</v>
      </c>
      <c r="L15" s="74" t="s">
        <v>1430</v>
      </c>
      <c r="M15" s="68" t="s">
        <v>1523</v>
      </c>
      <c r="N15" s="68" t="s">
        <v>1524</v>
      </c>
      <c r="O15" s="68" t="s">
        <v>1525</v>
      </c>
      <c r="P15" s="83">
        <v>177661418</v>
      </c>
      <c r="Q15" s="85">
        <v>0</v>
      </c>
      <c r="R15" s="88">
        <v>177661418</v>
      </c>
      <c r="S15" s="76"/>
      <c r="T15" s="76"/>
      <c r="U15" s="76"/>
      <c r="V15" s="76"/>
      <c r="W15" s="76"/>
      <c r="X15" s="76"/>
      <c r="Y15" s="74" t="s">
        <v>1465</v>
      </c>
      <c r="Z15" s="76"/>
      <c r="AA15" s="74" t="s">
        <v>1467</v>
      </c>
      <c r="AB15" s="76"/>
      <c r="AC15" s="74" t="s">
        <v>1476</v>
      </c>
      <c r="AD15" s="71" t="s">
        <v>1598</v>
      </c>
      <c r="AE15" s="71" t="s">
        <v>1479</v>
      </c>
      <c r="AF15" s="75" t="s">
        <v>1478</v>
      </c>
      <c r="AG15" s="74" t="s">
        <v>1477</v>
      </c>
      <c r="AH15" s="68" t="s">
        <v>1535</v>
      </c>
      <c r="AI15" s="74" t="s">
        <v>1469</v>
      </c>
      <c r="AJ15" s="68"/>
      <c r="AK15" s="74" t="s">
        <v>1448</v>
      </c>
      <c r="AL15" s="79" t="s">
        <v>1470</v>
      </c>
      <c r="AM15" s="79" t="s">
        <v>1470</v>
      </c>
      <c r="AN15" s="68" t="s">
        <v>1470</v>
      </c>
      <c r="AO15" s="68" t="s">
        <v>1471</v>
      </c>
      <c r="AP15" s="74" t="s">
        <v>1443</v>
      </c>
      <c r="AQ15" s="80"/>
      <c r="AR15" s="79"/>
      <c r="AS15" s="80"/>
      <c r="AT15" s="79"/>
      <c r="AU15" s="65" t="s">
        <v>1475</v>
      </c>
      <c r="AV15" s="68" t="s">
        <v>1586</v>
      </c>
      <c r="AW15" s="65" t="s">
        <v>1473</v>
      </c>
    </row>
    <row r="16" spans="1:49" ht="142.80000000000001" customHeight="1" x14ac:dyDescent="0.3">
      <c r="A16" s="72" t="s">
        <v>1455</v>
      </c>
      <c r="B16" s="73" t="s">
        <v>1451</v>
      </c>
      <c r="C16" s="74" t="s">
        <v>1490</v>
      </c>
      <c r="D16" s="37" t="s">
        <v>1487</v>
      </c>
      <c r="E16" s="74"/>
      <c r="F16" s="76"/>
      <c r="G16" s="74"/>
      <c r="H16" s="68"/>
      <c r="I16" s="74"/>
      <c r="J16" s="65"/>
      <c r="K16" s="37"/>
      <c r="L16" s="74" t="s">
        <v>1430</v>
      </c>
      <c r="M16" s="68"/>
      <c r="N16" s="68"/>
      <c r="O16" s="68"/>
      <c r="P16" s="83">
        <v>0</v>
      </c>
      <c r="Q16" s="86">
        <v>0</v>
      </c>
      <c r="R16" s="86">
        <v>0</v>
      </c>
      <c r="S16" s="76"/>
      <c r="T16" s="76"/>
      <c r="U16" s="76"/>
      <c r="V16" s="76"/>
      <c r="W16" s="76"/>
      <c r="X16" s="76"/>
      <c r="Y16" s="74" t="s">
        <v>1465</v>
      </c>
      <c r="Z16" s="76"/>
      <c r="AA16" s="74" t="s">
        <v>1467</v>
      </c>
      <c r="AB16" s="76"/>
      <c r="AC16" s="74" t="s">
        <v>1476</v>
      </c>
      <c r="AD16" s="71" t="s">
        <v>1594</v>
      </c>
      <c r="AE16" s="71" t="s">
        <v>1479</v>
      </c>
      <c r="AF16" s="75" t="s">
        <v>1478</v>
      </c>
      <c r="AG16" s="74" t="s">
        <v>1477</v>
      </c>
      <c r="AH16" s="68" t="s">
        <v>1536</v>
      </c>
      <c r="AI16" s="74" t="s">
        <v>1469</v>
      </c>
      <c r="AJ16" s="68"/>
      <c r="AK16" s="74" t="s">
        <v>1441</v>
      </c>
      <c r="AL16" s="79" t="s">
        <v>1470</v>
      </c>
      <c r="AM16" s="79" t="s">
        <v>1470</v>
      </c>
      <c r="AN16" s="68" t="s">
        <v>1470</v>
      </c>
      <c r="AO16" s="68" t="s">
        <v>1471</v>
      </c>
      <c r="AP16" s="74" t="s">
        <v>1443</v>
      </c>
      <c r="AQ16" s="80"/>
      <c r="AR16" s="79"/>
      <c r="AS16" s="80"/>
      <c r="AT16" s="79"/>
      <c r="AU16" s="80" t="s">
        <v>1475</v>
      </c>
      <c r="AV16" s="68" t="s">
        <v>1586</v>
      </c>
      <c r="AW16" s="65" t="s">
        <v>1473</v>
      </c>
    </row>
    <row r="17" spans="1:49" ht="142.80000000000001" customHeight="1" x14ac:dyDescent="0.3">
      <c r="A17" s="72" t="s">
        <v>1456</v>
      </c>
      <c r="B17" s="73" t="s">
        <v>1451</v>
      </c>
      <c r="C17" s="74" t="s">
        <v>1490</v>
      </c>
      <c r="D17" s="37" t="s">
        <v>1487</v>
      </c>
      <c r="E17" s="74"/>
      <c r="F17" s="76"/>
      <c r="G17" s="74"/>
      <c r="H17" s="68"/>
      <c r="I17" s="74"/>
      <c r="J17" s="65"/>
      <c r="K17" s="37"/>
      <c r="L17" s="74" t="s">
        <v>1430</v>
      </c>
      <c r="M17" s="68"/>
      <c r="N17" s="68"/>
      <c r="O17" s="68"/>
      <c r="P17" s="83">
        <v>0</v>
      </c>
      <c r="Q17" s="86">
        <v>0</v>
      </c>
      <c r="R17" s="86">
        <v>0</v>
      </c>
      <c r="S17" s="76"/>
      <c r="T17" s="76"/>
      <c r="U17" s="76"/>
      <c r="V17" s="76"/>
      <c r="W17" s="76"/>
      <c r="X17" s="76"/>
      <c r="Y17" s="74" t="s">
        <v>1465</v>
      </c>
      <c r="Z17" s="76"/>
      <c r="AA17" s="74" t="s">
        <v>1467</v>
      </c>
      <c r="AB17" s="76"/>
      <c r="AC17" s="80" t="s">
        <v>1476</v>
      </c>
      <c r="AD17" s="71" t="s">
        <v>1594</v>
      </c>
      <c r="AE17" s="71" t="s">
        <v>1479</v>
      </c>
      <c r="AF17" s="75" t="s">
        <v>1478</v>
      </c>
      <c r="AG17" s="74" t="s">
        <v>1477</v>
      </c>
      <c r="AH17" s="68" t="s">
        <v>1537</v>
      </c>
      <c r="AI17" s="74" t="s">
        <v>1469</v>
      </c>
      <c r="AJ17" s="68"/>
      <c r="AK17" s="74" t="s">
        <v>1448</v>
      </c>
      <c r="AL17" s="79" t="s">
        <v>1470</v>
      </c>
      <c r="AM17" s="79" t="s">
        <v>1470</v>
      </c>
      <c r="AN17" s="68" t="s">
        <v>1470</v>
      </c>
      <c r="AO17" s="68" t="s">
        <v>1471</v>
      </c>
      <c r="AP17" s="74" t="s">
        <v>1443</v>
      </c>
      <c r="AQ17" s="80"/>
      <c r="AR17" s="79"/>
      <c r="AS17" s="80"/>
      <c r="AT17" s="79"/>
      <c r="AU17" s="80" t="s">
        <v>1475</v>
      </c>
      <c r="AV17" s="68" t="s">
        <v>1586</v>
      </c>
      <c r="AW17" s="65" t="s">
        <v>1473</v>
      </c>
    </row>
    <row r="18" spans="1:49" ht="142.80000000000001" customHeight="1" x14ac:dyDescent="0.3">
      <c r="A18" s="72" t="s">
        <v>1457</v>
      </c>
      <c r="B18" s="73" t="s">
        <v>1451</v>
      </c>
      <c r="C18" s="74" t="s">
        <v>1490</v>
      </c>
      <c r="D18" s="37" t="s">
        <v>1487</v>
      </c>
      <c r="E18" s="74"/>
      <c r="F18" s="76"/>
      <c r="G18" s="74"/>
      <c r="H18" s="68"/>
      <c r="I18" s="74"/>
      <c r="J18" s="65"/>
      <c r="K18" s="37"/>
      <c r="L18" s="74" t="s">
        <v>1430</v>
      </c>
      <c r="M18" s="68"/>
      <c r="N18" s="68"/>
      <c r="O18" s="68"/>
      <c r="P18" s="83">
        <v>0</v>
      </c>
      <c r="Q18" s="86">
        <v>0</v>
      </c>
      <c r="R18" s="86">
        <v>0</v>
      </c>
      <c r="S18" s="76"/>
      <c r="T18" s="76"/>
      <c r="U18" s="76"/>
      <c r="V18" s="76"/>
      <c r="W18" s="76"/>
      <c r="X18" s="76"/>
      <c r="Y18" s="74" t="s">
        <v>1465</v>
      </c>
      <c r="Z18" s="76"/>
      <c r="AA18" s="74" t="s">
        <v>1467</v>
      </c>
      <c r="AB18" s="76"/>
      <c r="AC18" s="80" t="s">
        <v>1476</v>
      </c>
      <c r="AD18" s="71" t="s">
        <v>1594</v>
      </c>
      <c r="AE18" s="71" t="s">
        <v>1479</v>
      </c>
      <c r="AF18" s="75" t="s">
        <v>1478</v>
      </c>
      <c r="AG18" s="74" t="s">
        <v>1477</v>
      </c>
      <c r="AH18" s="68" t="s">
        <v>1538</v>
      </c>
      <c r="AI18" s="74" t="s">
        <v>1442</v>
      </c>
      <c r="AJ18" s="68" t="s">
        <v>1547</v>
      </c>
      <c r="AK18" s="74" t="s">
        <v>1448</v>
      </c>
      <c r="AL18" s="79" t="s">
        <v>1570</v>
      </c>
      <c r="AM18" s="79" t="s">
        <v>1468</v>
      </c>
      <c r="AN18" s="68" t="s">
        <v>1571</v>
      </c>
      <c r="AO18" s="68" t="s">
        <v>1572</v>
      </c>
      <c r="AP18" s="74" t="s">
        <v>1443</v>
      </c>
      <c r="AQ18" s="80"/>
      <c r="AR18" s="79"/>
      <c r="AS18" s="80"/>
      <c r="AT18" s="79"/>
      <c r="AU18" s="80" t="s">
        <v>1475</v>
      </c>
      <c r="AV18" s="68" t="s">
        <v>1586</v>
      </c>
      <c r="AW18" s="65" t="s">
        <v>1473</v>
      </c>
    </row>
    <row r="19" spans="1:49" x14ac:dyDescent="0.3">
      <c r="A19" s="72"/>
      <c r="B19" s="73"/>
      <c r="C19" s="80"/>
      <c r="D19" s="81"/>
      <c r="E19" s="80"/>
      <c r="F19" s="76"/>
      <c r="G19" s="80"/>
      <c r="H19" s="76"/>
      <c r="I19" s="74"/>
      <c r="J19" s="79"/>
      <c r="K19" s="79"/>
      <c r="L19" s="74"/>
      <c r="M19" s="79"/>
      <c r="N19" s="79"/>
      <c r="O19" s="79"/>
      <c r="P19" s="77"/>
      <c r="Q19" s="76"/>
      <c r="R19" s="76"/>
      <c r="S19" s="76"/>
      <c r="T19" s="76"/>
      <c r="U19" s="76"/>
      <c r="V19" s="76"/>
      <c r="W19" s="76"/>
      <c r="X19" s="76"/>
      <c r="Y19" s="80"/>
      <c r="Z19" s="76"/>
      <c r="AA19" s="80"/>
      <c r="AB19" s="76"/>
      <c r="AC19" s="80"/>
      <c r="AD19" s="71"/>
      <c r="AE19" s="71"/>
      <c r="AF19" s="76"/>
      <c r="AG19" s="80"/>
      <c r="AH19" s="79"/>
      <c r="AI19" s="80"/>
      <c r="AJ19" s="79"/>
      <c r="AK19" s="74"/>
      <c r="AL19" s="79"/>
      <c r="AM19" s="79"/>
      <c r="AN19" s="79"/>
      <c r="AO19" s="79"/>
      <c r="AP19" s="74"/>
      <c r="AQ19" s="80"/>
      <c r="AR19" s="79"/>
      <c r="AS19" s="80"/>
      <c r="AT19" s="79"/>
      <c r="AU19" s="80"/>
      <c r="AV19" s="76"/>
      <c r="AW19" s="80"/>
    </row>
    <row r="20" spans="1:49" x14ac:dyDescent="0.3">
      <c r="A20" s="72"/>
      <c r="B20" s="73"/>
      <c r="C20" s="80"/>
      <c r="D20" s="81"/>
      <c r="E20" s="80"/>
      <c r="F20" s="76"/>
      <c r="G20" s="80"/>
      <c r="H20" s="76"/>
      <c r="I20" s="74"/>
      <c r="J20" s="79"/>
      <c r="K20" s="79"/>
      <c r="L20" s="74"/>
      <c r="M20" s="79"/>
      <c r="N20" s="79"/>
      <c r="O20" s="79"/>
      <c r="P20" s="76"/>
      <c r="Q20" s="76"/>
      <c r="R20" s="76"/>
      <c r="S20" s="76"/>
      <c r="T20" s="76"/>
      <c r="U20" s="76"/>
      <c r="V20" s="76"/>
      <c r="W20" s="76"/>
      <c r="X20" s="76"/>
      <c r="Y20" s="80"/>
      <c r="Z20" s="76"/>
      <c r="AA20" s="80"/>
      <c r="AB20" s="76"/>
      <c r="AC20" s="80"/>
      <c r="AD20" s="71"/>
      <c r="AE20" s="71"/>
      <c r="AF20" s="76"/>
      <c r="AG20" s="80"/>
      <c r="AH20" s="79"/>
      <c r="AI20" s="80"/>
      <c r="AJ20" s="79"/>
      <c r="AK20" s="80"/>
      <c r="AL20" s="79"/>
      <c r="AM20" s="79"/>
      <c r="AN20" s="79"/>
      <c r="AO20" s="79"/>
      <c r="AP20" s="80"/>
      <c r="AQ20" s="80"/>
      <c r="AR20" s="79"/>
      <c r="AS20" s="80"/>
      <c r="AT20" s="79"/>
      <c r="AU20" s="80"/>
      <c r="AV20" s="76"/>
      <c r="AW20" s="80"/>
    </row>
    <row r="23" spans="1:49" ht="21" x14ac:dyDescent="0.4">
      <c r="B23" s="12" t="s">
        <v>52</v>
      </c>
    </row>
    <row r="24" spans="1:49" ht="15.6" x14ac:dyDescent="0.3">
      <c r="B24" s="28" t="s">
        <v>103</v>
      </c>
    </row>
    <row r="25" spans="1:49" ht="15.6" x14ac:dyDescent="0.3">
      <c r="B25" s="28" t="s">
        <v>104</v>
      </c>
    </row>
    <row r="26" spans="1:49" ht="15.6" x14ac:dyDescent="0.3">
      <c r="B26" s="28" t="s">
        <v>105</v>
      </c>
    </row>
  </sheetData>
  <mergeCells count="40">
    <mergeCell ref="AW2:AW4"/>
    <mergeCell ref="AA2:AB2"/>
    <mergeCell ref="AA3:AA4"/>
    <mergeCell ref="AB3:AB4"/>
    <mergeCell ref="AG3:AG4"/>
    <mergeCell ref="AH3:AO3"/>
    <mergeCell ref="AG2:AV2"/>
    <mergeCell ref="AP3:AP4"/>
    <mergeCell ref="AQ3:AT3"/>
    <mergeCell ref="AU3:AU4"/>
    <mergeCell ref="AV3:AV4"/>
    <mergeCell ref="AC3:AC4"/>
    <mergeCell ref="AD3:AD4"/>
    <mergeCell ref="AE3:AE4"/>
    <mergeCell ref="AF3:AF4"/>
    <mergeCell ref="AC2:AF2"/>
    <mergeCell ref="P2:X2"/>
    <mergeCell ref="P3:R3"/>
    <mergeCell ref="S3:U3"/>
    <mergeCell ref="V3:X3"/>
    <mergeCell ref="Y2:Z2"/>
    <mergeCell ref="Y3:Y4"/>
    <mergeCell ref="Z3:Z4"/>
    <mergeCell ref="K2:K4"/>
    <mergeCell ref="L2:L4"/>
    <mergeCell ref="M2:O2"/>
    <mergeCell ref="M3:N3"/>
    <mergeCell ref="O3:O4"/>
    <mergeCell ref="G2:G4"/>
    <mergeCell ref="H2:H4"/>
    <mergeCell ref="I3:I4"/>
    <mergeCell ref="J3:J4"/>
    <mergeCell ref="I2:J2"/>
    <mergeCell ref="A2:A4"/>
    <mergeCell ref="B2:B4"/>
    <mergeCell ref="C2:C4"/>
    <mergeCell ref="D2:D4"/>
    <mergeCell ref="E2:F2"/>
    <mergeCell ref="E3:E4"/>
    <mergeCell ref="F3:F4"/>
  </mergeCells>
  <dataValidations xWindow="177" yWindow="570" count="20">
    <dataValidation type="list" allowBlank="1" showInputMessage="1" showErrorMessage="1" sqref="C6:C20" xr:uid="{00000000-0002-0000-0300-000000000000}">
      <formula1>refKejadianFraudJoin</formula1>
    </dataValidation>
    <dataValidation type="list" allowBlank="1" showInputMessage="1" showErrorMessage="1" sqref="E6:E20" xr:uid="{00000000-0002-0000-0300-000001000000}">
      <formula1>refJenisFraud</formula1>
    </dataValidation>
    <dataValidation type="list" allowBlank="1" showInputMessage="1" showErrorMessage="1" sqref="G6:G20" xr:uid="{00000000-0002-0000-0300-000002000000}">
      <formula1>refAktifitasterkaitFraud</formula1>
    </dataValidation>
    <dataValidation type="list" allowBlank="1" showInputMessage="1" showErrorMessage="1" sqref="I6:I20" xr:uid="{00000000-0002-0000-0300-000003000000}">
      <formula1>refLokasiFraud</formula1>
    </dataValidation>
    <dataValidation type="list" allowBlank="1" showInputMessage="1" showErrorMessage="1" sqref="L6:L20" xr:uid="{00000000-0002-0000-0300-000004000000}">
      <formula1>refPihakYangDirugikan</formula1>
    </dataValidation>
    <dataValidation type="list" allowBlank="1" showInputMessage="1" showErrorMessage="1" sqref="Y6:Y20" xr:uid="{00000000-0002-0000-0300-000005000000}">
      <formula1>refKelemahanPenyebabFraud</formula1>
    </dataValidation>
    <dataValidation type="list" allowBlank="1" showInputMessage="1" showErrorMessage="1" sqref="AA6:AA20" xr:uid="{00000000-0002-0000-0300-000006000000}">
      <formula1>refTindakanUntukPenangananFraud</formula1>
    </dataValidation>
    <dataValidation type="list" allowBlank="1" showInputMessage="1" showErrorMessage="1" sqref="AC6:AC20" xr:uid="{00000000-0002-0000-0300-000007000000}">
      <formula1>refTindakanPerbaikanUntukPencegahanFraud</formula1>
    </dataValidation>
    <dataValidation type="list" allowBlank="1" showInputMessage="1" showErrorMessage="1" sqref="AG6:AG20" xr:uid="{00000000-0002-0000-0300-000008000000}">
      <formula1>refPelakuFraud</formula1>
    </dataValidation>
    <dataValidation type="list" allowBlank="1" showInputMessage="1" showErrorMessage="1" sqref="AI6:AI20" xr:uid="{00000000-0002-0000-0300-000009000000}">
      <formula1>refJenisIdentitas</formula1>
    </dataValidation>
    <dataValidation type="list" allowBlank="1" showInputMessage="1" showErrorMessage="1" sqref="AK6:AK20" xr:uid="{00000000-0002-0000-0300-00000A000000}">
      <formula1>refJenisKelamin</formula1>
    </dataValidation>
    <dataValidation type="list" allowBlank="1" showInputMessage="1" showErrorMessage="1" sqref="AP6:AP20" xr:uid="{00000000-0002-0000-0300-00000B000000}">
      <formula1>refStatusPelaku</formula1>
    </dataValidation>
    <dataValidation type="list" allowBlank="1" showInputMessage="1" showErrorMessage="1" sqref="AQ6:AQ19" xr:uid="{00000000-0002-0000-0300-00000C000000}">
      <formula1>refJabatanPelakuSaatFraudTerjadi</formula1>
    </dataValidation>
    <dataValidation type="list" allowBlank="1" showInputMessage="1" showErrorMessage="1" sqref="AQ20 AS6:AS20" xr:uid="{00000000-0002-0000-0300-00000D000000}">
      <formula1>refJabatanPelakuSaatFraudDiketahui</formula1>
    </dataValidation>
    <dataValidation type="list" allowBlank="1" showInputMessage="1" showErrorMessage="1" sqref="AU6:AU20" xr:uid="{00000000-0002-0000-0300-00000E000000}">
      <formula1>refKeteranganPelaku</formula1>
    </dataValidation>
    <dataValidation type="list" allowBlank="1" showInputMessage="1" showErrorMessage="1" sqref="AW6:AW20" xr:uid="{00000000-0002-0000-0300-00000F000000}">
      <formula1>refStatus</formula1>
    </dataValidation>
    <dataValidation allowBlank="1" showInputMessage="1" showErrorMessage="1" prompt="format tanggal menggunakan 'YYYYMMDD'" sqref="M4:N4 O3:O4 AE6:AF20 M6:O20 AO6:AO20" xr:uid="{00000000-0002-0000-0300-000010000000}"/>
    <dataValidation allowBlank="1" showInputMessage="1" showErrorMessage="1" prompt="Diisi sandi Kabupaten/Kota DATI II" sqref="J6:J18" xr:uid="{00000000-0002-0000-0300-000011000000}"/>
    <dataValidation allowBlank="1" showInputMessage="1" showErrorMessage="1" prompt="wajib diisi '0101000000'" sqref="B6:B20" xr:uid="{00000000-0002-0000-0300-000012000000}"/>
    <dataValidation allowBlank="1" showInputMessage="1" showErrorMessage="1" prompt="Menggunakan format bebas, kecuali untuk kota atau kabupaten, provinsi, negara mengacu pada referensi di template POJK SAF" sqref="AM4 AM10:AM18" xr:uid="{00000000-0002-0000-0300-000013000000}"/>
  </dataValidations>
  <pageMargins left="0.70866141732283472" right="0.70866141732283472" top="0.74803149606299213" bottom="0.74803149606299213" header="0.31496062992125984" footer="0.31496062992125984"/>
  <pageSetup scale="3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H12"/>
  <sheetViews>
    <sheetView showGridLines="0" zoomScale="85" zoomScaleNormal="85" workbookViewId="0">
      <pane ySplit="5" topLeftCell="A6" activePane="bottomLeft" state="frozen"/>
      <selection pane="bottomLeft" activeCell="C6" sqref="C6"/>
    </sheetView>
  </sheetViews>
  <sheetFormatPr defaultColWidth="9.21875" defaultRowHeight="14.4" x14ac:dyDescent="0.3"/>
  <cols>
    <col min="1" max="1" width="3.77734375" style="27" bestFit="1" customWidth="1"/>
    <col min="2" max="2" width="14.21875" style="27" customWidth="1"/>
    <col min="3" max="3" width="30.77734375" style="27" customWidth="1"/>
    <col min="4" max="4" width="20.77734375" style="27" customWidth="1"/>
    <col min="5" max="5" width="30.77734375" style="27" customWidth="1"/>
    <col min="6" max="8" width="50.77734375" style="27" customWidth="1"/>
    <col min="9" max="10" width="20.77734375" style="27" customWidth="1"/>
    <col min="11" max="11" width="57.21875" style="27" bestFit="1" customWidth="1"/>
    <col min="12" max="14" width="13.77734375" style="27" customWidth="1"/>
    <col min="15" max="16" width="20.77734375" style="27" customWidth="1"/>
    <col min="17" max="17" width="50.77734375" style="27" customWidth="1"/>
    <col min="18" max="19" width="20.77734375" style="27" customWidth="1"/>
    <col min="20" max="20" width="25.21875" style="27" customWidth="1"/>
    <col min="21" max="22" width="20.77734375" style="27" customWidth="1"/>
    <col min="23" max="24" width="50.77734375" style="27" customWidth="1"/>
    <col min="25" max="26" width="20.77734375" style="27" customWidth="1"/>
    <col min="27" max="28" width="30.77734375" style="27" customWidth="1"/>
    <col min="29" max="29" width="50.77734375" style="27" customWidth="1"/>
    <col min="30" max="30" width="30.77734375" style="27" customWidth="1"/>
    <col min="31" max="33" width="50.77734375" style="27" customWidth="1"/>
    <col min="34" max="34" width="30.77734375" style="27" customWidth="1"/>
    <col min="35" max="16384" width="9.21875" style="27"/>
  </cols>
  <sheetData>
    <row r="1" spans="1:34" ht="21" x14ac:dyDescent="0.35">
      <c r="A1" s="30" t="str">
        <f>CONCATENATE('Daftar Form'!H10," - ",'Daftar Form'!G10)</f>
        <v>01B - Laporan Penerapan SAF berdampak signifikan yang mencakup informasi kejadian fraud dan informasi pelaku fraud berdampak signifikan</v>
      </c>
    </row>
    <row r="2" spans="1:34" s="60" customFormat="1" ht="15" customHeight="1" x14ac:dyDescent="0.3">
      <c r="A2" s="115" t="s">
        <v>12</v>
      </c>
      <c r="B2" s="115" t="s">
        <v>58</v>
      </c>
      <c r="C2" s="115" t="s">
        <v>59</v>
      </c>
      <c r="D2" s="115" t="s">
        <v>60</v>
      </c>
      <c r="E2" s="116" t="s">
        <v>61</v>
      </c>
      <c r="F2" s="117"/>
      <c r="G2" s="115" t="s">
        <v>1399</v>
      </c>
      <c r="H2" s="118" t="s">
        <v>28</v>
      </c>
      <c r="I2" s="116" t="s">
        <v>62</v>
      </c>
      <c r="J2" s="117"/>
      <c r="K2" s="118" t="s">
        <v>63</v>
      </c>
      <c r="L2" s="116" t="s">
        <v>65</v>
      </c>
      <c r="M2" s="121"/>
      <c r="N2" s="117"/>
      <c r="O2" s="118" t="s">
        <v>64</v>
      </c>
      <c r="P2" s="118" t="s">
        <v>106</v>
      </c>
      <c r="Q2" s="118" t="s">
        <v>107</v>
      </c>
      <c r="R2" s="116" t="s">
        <v>70</v>
      </c>
      <c r="S2" s="121"/>
      <c r="T2" s="121"/>
      <c r="U2" s="121"/>
      <c r="V2" s="121"/>
      <c r="W2" s="121"/>
      <c r="X2" s="121"/>
      <c r="Y2" s="121"/>
      <c r="Z2" s="121"/>
      <c r="AA2" s="121"/>
      <c r="AB2" s="121"/>
      <c r="AC2" s="121"/>
      <c r="AD2" s="121"/>
      <c r="AE2" s="121"/>
      <c r="AF2" s="121"/>
      <c r="AG2" s="117"/>
      <c r="AH2" s="118" t="s">
        <v>1400</v>
      </c>
    </row>
    <row r="3" spans="1:34" s="60" customFormat="1" ht="15" customHeight="1" x14ac:dyDescent="0.3">
      <c r="A3" s="115"/>
      <c r="B3" s="115"/>
      <c r="C3" s="115"/>
      <c r="D3" s="115"/>
      <c r="E3" s="118" t="s">
        <v>61</v>
      </c>
      <c r="F3" s="118" t="s">
        <v>72</v>
      </c>
      <c r="G3" s="115"/>
      <c r="H3" s="120"/>
      <c r="I3" s="118" t="s">
        <v>62</v>
      </c>
      <c r="J3" s="118" t="s">
        <v>73</v>
      </c>
      <c r="K3" s="120"/>
      <c r="L3" s="116" t="s">
        <v>74</v>
      </c>
      <c r="M3" s="117"/>
      <c r="N3" s="118" t="s">
        <v>75</v>
      </c>
      <c r="O3" s="120"/>
      <c r="P3" s="120"/>
      <c r="Q3" s="120"/>
      <c r="R3" s="118" t="s">
        <v>1398</v>
      </c>
      <c r="S3" s="116" t="s">
        <v>82</v>
      </c>
      <c r="T3" s="121"/>
      <c r="U3" s="121"/>
      <c r="V3" s="121"/>
      <c r="W3" s="121"/>
      <c r="X3" s="121"/>
      <c r="Y3" s="121"/>
      <c r="Z3" s="117"/>
      <c r="AA3" s="118" t="s">
        <v>83</v>
      </c>
      <c r="AB3" s="116" t="s">
        <v>84</v>
      </c>
      <c r="AC3" s="121"/>
      <c r="AD3" s="121"/>
      <c r="AE3" s="117"/>
      <c r="AF3" s="118" t="s">
        <v>85</v>
      </c>
      <c r="AG3" s="118" t="s">
        <v>86</v>
      </c>
      <c r="AH3" s="120"/>
    </row>
    <row r="4" spans="1:34" s="60" customFormat="1" ht="15.6" x14ac:dyDescent="0.3">
      <c r="A4" s="115"/>
      <c r="B4" s="115"/>
      <c r="C4" s="115"/>
      <c r="D4" s="115"/>
      <c r="E4" s="119"/>
      <c r="F4" s="119"/>
      <c r="G4" s="115"/>
      <c r="H4" s="119"/>
      <c r="I4" s="119"/>
      <c r="J4" s="119"/>
      <c r="K4" s="119"/>
      <c r="L4" s="59" t="s">
        <v>87</v>
      </c>
      <c r="M4" s="59" t="s">
        <v>88</v>
      </c>
      <c r="N4" s="119"/>
      <c r="O4" s="119"/>
      <c r="P4" s="119"/>
      <c r="Q4" s="119"/>
      <c r="R4" s="119"/>
      <c r="S4" s="59" t="s">
        <v>92</v>
      </c>
      <c r="T4" s="59" t="s">
        <v>93</v>
      </c>
      <c r="U4" s="59" t="s">
        <v>94</v>
      </c>
      <c r="V4" s="59" t="s">
        <v>95</v>
      </c>
      <c r="W4" s="59" t="s">
        <v>96</v>
      </c>
      <c r="X4" s="59" t="s">
        <v>1397</v>
      </c>
      <c r="Y4" s="59" t="s">
        <v>97</v>
      </c>
      <c r="Z4" s="59" t="s">
        <v>98</v>
      </c>
      <c r="AA4" s="119"/>
      <c r="AB4" s="59" t="s">
        <v>99</v>
      </c>
      <c r="AC4" s="59" t="s">
        <v>100</v>
      </c>
      <c r="AD4" s="59" t="s">
        <v>101</v>
      </c>
      <c r="AE4" s="59" t="s">
        <v>100</v>
      </c>
      <c r="AF4" s="119"/>
      <c r="AG4" s="119"/>
      <c r="AH4" s="119"/>
    </row>
    <row r="5" spans="1:34" ht="14.7" customHeight="1" x14ac:dyDescent="0.35">
      <c r="A5" s="26"/>
      <c r="B5" s="29">
        <v>2</v>
      </c>
      <c r="C5" s="29">
        <f>B5+1</f>
        <v>3</v>
      </c>
      <c r="D5" s="29">
        <v>4</v>
      </c>
      <c r="E5" s="29">
        <v>5</v>
      </c>
      <c r="F5" s="40">
        <v>6</v>
      </c>
      <c r="G5" s="29">
        <v>7</v>
      </c>
      <c r="H5" s="29">
        <v>8</v>
      </c>
      <c r="I5" s="40">
        <v>9</v>
      </c>
      <c r="J5" s="29">
        <v>10</v>
      </c>
      <c r="K5" s="29">
        <v>11</v>
      </c>
      <c r="L5" s="40">
        <v>12</v>
      </c>
      <c r="M5" s="29">
        <v>13</v>
      </c>
      <c r="N5" s="29">
        <v>14</v>
      </c>
      <c r="O5" s="29">
        <v>15</v>
      </c>
      <c r="P5" s="29">
        <v>16</v>
      </c>
      <c r="Q5" s="29">
        <v>17</v>
      </c>
      <c r="R5" s="29">
        <v>18</v>
      </c>
      <c r="S5" s="29">
        <v>19</v>
      </c>
      <c r="T5" s="29">
        <v>20</v>
      </c>
      <c r="U5" s="29">
        <v>21</v>
      </c>
      <c r="V5" s="29">
        <v>22</v>
      </c>
      <c r="W5" s="29">
        <v>23</v>
      </c>
      <c r="X5" s="29">
        <v>24</v>
      </c>
      <c r="Y5" s="29">
        <v>25</v>
      </c>
      <c r="Z5" s="29">
        <v>26</v>
      </c>
      <c r="AA5" s="29">
        <v>27</v>
      </c>
      <c r="AB5" s="29">
        <v>28</v>
      </c>
      <c r="AC5" s="29">
        <v>29</v>
      </c>
      <c r="AD5" s="29">
        <v>30</v>
      </c>
      <c r="AE5" s="29">
        <v>31</v>
      </c>
      <c r="AF5" s="29">
        <v>32</v>
      </c>
      <c r="AG5" s="29">
        <v>33</v>
      </c>
      <c r="AH5" s="29">
        <v>34</v>
      </c>
    </row>
    <row r="6" spans="1:34" s="70" customFormat="1" x14ac:dyDescent="0.3">
      <c r="A6" s="68"/>
      <c r="B6" s="69"/>
      <c r="C6" s="65"/>
      <c r="D6" s="37"/>
      <c r="E6" s="65"/>
      <c r="F6" s="37"/>
      <c r="G6" s="65"/>
      <c r="H6" s="68"/>
      <c r="I6" s="65"/>
      <c r="J6" s="65"/>
      <c r="K6" s="68"/>
      <c r="L6" s="68"/>
      <c r="M6" s="68"/>
      <c r="N6" s="68"/>
      <c r="O6" s="65"/>
      <c r="P6" s="68"/>
      <c r="Q6" s="37"/>
      <c r="R6" s="68"/>
      <c r="S6" s="68"/>
      <c r="T6" s="68"/>
      <c r="U6" s="68"/>
      <c r="V6" s="68"/>
      <c r="W6" s="68"/>
      <c r="X6" s="68"/>
      <c r="Y6" s="68"/>
      <c r="Z6" s="68"/>
      <c r="AA6" s="68"/>
      <c r="AB6" s="68"/>
      <c r="AC6" s="68"/>
      <c r="AD6" s="68"/>
      <c r="AE6" s="68"/>
      <c r="AF6" s="68"/>
      <c r="AG6" s="68"/>
      <c r="AH6" s="65"/>
    </row>
    <row r="7" spans="1:34" x14ac:dyDescent="0.3">
      <c r="A7" s="68"/>
      <c r="B7" s="69"/>
      <c r="C7" s="65"/>
      <c r="D7" s="37"/>
      <c r="E7" s="65"/>
      <c r="F7" s="37"/>
      <c r="G7" s="65"/>
      <c r="H7" s="68"/>
      <c r="I7" s="65"/>
      <c r="J7" s="65"/>
      <c r="K7" s="37"/>
      <c r="L7" s="68"/>
      <c r="M7" s="68"/>
      <c r="N7" s="68"/>
      <c r="O7" s="65"/>
      <c r="P7" s="68"/>
      <c r="Q7" s="37"/>
      <c r="R7" s="68"/>
      <c r="S7" s="68"/>
      <c r="T7" s="68"/>
      <c r="U7" s="68"/>
      <c r="V7" s="68"/>
      <c r="W7" s="68"/>
      <c r="X7" s="68"/>
      <c r="Y7" s="68"/>
      <c r="Z7" s="68"/>
      <c r="AA7" s="68"/>
      <c r="AB7" s="68"/>
      <c r="AC7" s="68"/>
      <c r="AD7" s="68"/>
      <c r="AE7" s="68"/>
      <c r="AF7" s="68"/>
      <c r="AG7" s="68"/>
      <c r="AH7" s="65"/>
    </row>
    <row r="9" spans="1:34" ht="21" x14ac:dyDescent="0.4">
      <c r="A9" s="12" t="s">
        <v>52</v>
      </c>
    </row>
    <row r="10" spans="1:34" ht="15.6" x14ac:dyDescent="0.3">
      <c r="A10" s="28" t="s">
        <v>103</v>
      </c>
    </row>
    <row r="11" spans="1:34" ht="15.6" x14ac:dyDescent="0.3">
      <c r="A11" s="28" t="s">
        <v>104</v>
      </c>
    </row>
    <row r="12" spans="1:34" ht="15.6" x14ac:dyDescent="0.3">
      <c r="A12" s="28" t="s">
        <v>105</v>
      </c>
    </row>
  </sheetData>
  <mergeCells count="27">
    <mergeCell ref="S3:Z3"/>
    <mergeCell ref="AA3:AA4"/>
    <mergeCell ref="AB3:AE3"/>
    <mergeCell ref="AF3:AF4"/>
    <mergeCell ref="AG3:AG4"/>
    <mergeCell ref="R3:R4"/>
    <mergeCell ref="Q2:Q4"/>
    <mergeCell ref="R2:AG2"/>
    <mergeCell ref="AH2:AH4"/>
    <mergeCell ref="E3:E4"/>
    <mergeCell ref="F3:F4"/>
    <mergeCell ref="I3:I4"/>
    <mergeCell ref="J3:J4"/>
    <mergeCell ref="L3:M3"/>
    <mergeCell ref="N3:N4"/>
    <mergeCell ref="L2:N2"/>
    <mergeCell ref="P2:P4"/>
    <mergeCell ref="E2:F2"/>
    <mergeCell ref="G2:G4"/>
    <mergeCell ref="H2:H4"/>
    <mergeCell ref="I2:J2"/>
    <mergeCell ref="O2:O4"/>
    <mergeCell ref="K2:K4"/>
    <mergeCell ref="A2:A4"/>
    <mergeCell ref="B2:B4"/>
    <mergeCell ref="C2:C4"/>
    <mergeCell ref="D2:D4"/>
  </mergeCells>
  <dataValidations count="16">
    <dataValidation allowBlank="1" showInputMessage="1" showErrorMessage="1" prompt="Menggunakan format bebas, kecuali untuk kota atau kabupaten, provinsi, negara mengacu pada referensi di template POJK SAF" sqref="X4 X6:X7" xr:uid="{00000000-0002-0000-0400-000000000000}"/>
    <dataValidation type="list" allowBlank="1" showInputMessage="1" showErrorMessage="1" sqref="AH6:AH7" xr:uid="{00000000-0002-0000-0400-000001000000}">
      <formula1>refStatus</formula1>
    </dataValidation>
    <dataValidation type="list" allowBlank="1" showInputMessage="1" showErrorMessage="1" sqref="AF6:AF7" xr:uid="{00000000-0002-0000-0400-000002000000}">
      <formula1>refKeteranganPelaku</formula1>
    </dataValidation>
    <dataValidation type="list" allowBlank="1" showInputMessage="1" showErrorMessage="1" sqref="AD6:AD7" xr:uid="{00000000-0002-0000-0400-000003000000}">
      <formula1>refJabatanPelakuSaatFraudDiketahui</formula1>
    </dataValidation>
    <dataValidation type="list" allowBlank="1" showInputMessage="1" showErrorMessage="1" sqref="AB6:AB7" xr:uid="{00000000-0002-0000-0400-000004000000}">
      <formula1>refJabatanPelakuSaatFraudTerjadi</formula1>
    </dataValidation>
    <dataValidation type="list" allowBlank="1" showInputMessage="1" showErrorMessage="1" sqref="AA6:AA7" xr:uid="{00000000-0002-0000-0400-000005000000}">
      <formula1>refStatusPelaku</formula1>
    </dataValidation>
    <dataValidation type="list" allowBlank="1" showInputMessage="1" showErrorMessage="1" sqref="V6:V7" xr:uid="{00000000-0002-0000-0400-000006000000}">
      <formula1>refJenisKelamin</formula1>
    </dataValidation>
    <dataValidation type="list" allowBlank="1" showInputMessage="1" showErrorMessage="1" sqref="T6:T7" xr:uid="{00000000-0002-0000-0400-000007000000}">
      <formula1>refJenisIdentitas</formula1>
    </dataValidation>
    <dataValidation type="list" allowBlank="1" showInputMessage="1" showErrorMessage="1" sqref="R6:R7" xr:uid="{00000000-0002-0000-0400-000008000000}">
      <formula1>refPelakuFraud</formula1>
    </dataValidation>
    <dataValidation type="list" allowBlank="1" showInputMessage="1" showErrorMessage="1" sqref="I6:I7" xr:uid="{00000000-0002-0000-0400-000009000000}">
      <formula1>refLokasiFraud</formula1>
    </dataValidation>
    <dataValidation type="list" allowBlank="1" showInputMessage="1" showErrorMessage="1" sqref="G6:G7" xr:uid="{00000000-0002-0000-0400-00000A000000}">
      <formula1>refAktifitasterkaitFraud</formula1>
    </dataValidation>
    <dataValidation type="list" allowBlank="1" showInputMessage="1" showErrorMessage="1" sqref="E6:E7" xr:uid="{00000000-0002-0000-0400-00000B000000}">
      <formula1>refJenisFraud</formula1>
    </dataValidation>
    <dataValidation type="list" allowBlank="1" showInputMessage="1" showErrorMessage="1" sqref="O6:O7" xr:uid="{00000000-0002-0000-0400-00000C000000}">
      <formula1>refPihakYangDirugikan</formula1>
    </dataValidation>
    <dataValidation type="list" allowBlank="1" showInputMessage="1" showErrorMessage="1" sqref="C6:C7" xr:uid="{00000000-0002-0000-0400-00000D000000}">
      <formula1>refKejadianMenurutPelakuSig</formula1>
    </dataValidation>
    <dataValidation allowBlank="1" showInputMessage="1" showErrorMessage="1" prompt="format tanggal menggunakan 'YYYYMMDD'" sqref="L6:N7 Z6:Z7" xr:uid="{00000000-0002-0000-0400-00000E000000}"/>
    <dataValidation allowBlank="1" showInputMessage="1" showErrorMessage="1" prompt="wajib diisi '0201000000'" sqref="B6:B7" xr:uid="{00000000-0002-0000-0400-00000F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10000000}">
          <x14:formula1>
            <xm:f>'#REF'!$C$439:$C$471</xm:f>
          </x14:formula1>
          <xm:sqref>J6:J7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C814"/>
  <sheetViews>
    <sheetView showGridLines="0" zoomScale="110" zoomScaleNormal="110" workbookViewId="0">
      <selection activeCell="B151" sqref="B151"/>
    </sheetView>
  </sheetViews>
  <sheetFormatPr defaultRowHeight="14.4" outlineLevelRow="1" x14ac:dyDescent="0.3"/>
  <cols>
    <col min="1" max="1" width="21.21875" customWidth="1"/>
    <col min="2" max="2" width="44" customWidth="1"/>
    <col min="3" max="3" width="45.21875" customWidth="1"/>
  </cols>
  <sheetData>
    <row r="1" spans="1:3" ht="18.45" x14ac:dyDescent="0.35">
      <c r="A1" s="31" t="s">
        <v>109</v>
      </c>
      <c r="B1" s="21"/>
    </row>
    <row r="2" spans="1:3" ht="15.45" x14ac:dyDescent="0.35">
      <c r="A2" s="32" t="s">
        <v>110</v>
      </c>
      <c r="B2" s="32" t="s">
        <v>111</v>
      </c>
      <c r="C2" s="32" t="s">
        <v>112</v>
      </c>
    </row>
    <row r="3" spans="1:3" ht="14.55" x14ac:dyDescent="0.35">
      <c r="A3" s="33" t="s">
        <v>113</v>
      </c>
      <c r="B3" s="34" t="s">
        <v>114</v>
      </c>
      <c r="C3" s="34" t="str">
        <f>CONCATENATE(A3, " (",B3,")")</f>
        <v>A (internal)</v>
      </c>
    </row>
    <row r="4" spans="1:3" ht="14.55" x14ac:dyDescent="0.35">
      <c r="A4" s="33" t="s">
        <v>115</v>
      </c>
      <c r="B4" s="34" t="s">
        <v>116</v>
      </c>
      <c r="C4" s="34" t="str">
        <f t="shared" ref="C4:C5" si="0">CONCATENATE(A4, " (",B4,")")</f>
        <v>B (eksternal)</v>
      </c>
    </row>
    <row r="5" spans="1:3" ht="14.55" x14ac:dyDescent="0.35">
      <c r="A5" s="33" t="s">
        <v>117</v>
      </c>
      <c r="B5" s="34" t="s">
        <v>118</v>
      </c>
      <c r="C5" s="34" t="str">
        <f t="shared" si="0"/>
        <v>C (internal dan eksternal)</v>
      </c>
    </row>
    <row r="7" spans="1:3" ht="18.45" x14ac:dyDescent="0.35">
      <c r="A7" s="31" t="s">
        <v>119</v>
      </c>
    </row>
    <row r="8" spans="1:3" ht="15.45" x14ac:dyDescent="0.35">
      <c r="A8" s="32" t="s">
        <v>110</v>
      </c>
      <c r="B8" s="32" t="s">
        <v>111</v>
      </c>
      <c r="C8" s="32" t="s">
        <v>112</v>
      </c>
    </row>
    <row r="9" spans="1:3" ht="14.55" x14ac:dyDescent="0.35">
      <c r="A9" s="33" t="s">
        <v>120</v>
      </c>
      <c r="B9" s="34" t="s">
        <v>114</v>
      </c>
      <c r="C9" s="34" t="str">
        <f>CONCATENATE(A9, " (",B9,")")</f>
        <v>AS (internal)</v>
      </c>
    </row>
    <row r="10" spans="1:3" ht="14.55" x14ac:dyDescent="0.35">
      <c r="A10" s="33" t="s">
        <v>121</v>
      </c>
      <c r="B10" s="34" t="s">
        <v>116</v>
      </c>
      <c r="C10" s="34" t="str">
        <f t="shared" ref="C10:C11" si="1">CONCATENATE(A10, " (",B10,")")</f>
        <v>BS (eksternal)</v>
      </c>
    </row>
    <row r="11" spans="1:3" ht="14.55" x14ac:dyDescent="0.35">
      <c r="A11" s="33" t="s">
        <v>122</v>
      </c>
      <c r="B11" s="34" t="s">
        <v>118</v>
      </c>
      <c r="C11" s="34" t="str">
        <f t="shared" si="1"/>
        <v>CS (internal dan eksternal)</v>
      </c>
    </row>
    <row r="13" spans="1:3" ht="18.45" x14ac:dyDescent="0.35">
      <c r="A13" s="31" t="s">
        <v>123</v>
      </c>
    </row>
    <row r="14" spans="1:3" ht="15.45" x14ac:dyDescent="0.35">
      <c r="A14" s="32" t="s">
        <v>110</v>
      </c>
      <c r="B14" s="32" t="s">
        <v>111</v>
      </c>
      <c r="C14" s="32" t="s">
        <v>112</v>
      </c>
    </row>
    <row r="15" spans="1:3" ht="14.55" x14ac:dyDescent="0.35">
      <c r="A15" s="33" t="s">
        <v>113</v>
      </c>
      <c r="B15" s="34" t="s">
        <v>114</v>
      </c>
      <c r="C15" s="34" t="str">
        <f>CONCATENATE(A15, " (",B15,")")</f>
        <v>A (internal)</v>
      </c>
    </row>
    <row r="16" spans="1:3" ht="14.55" x14ac:dyDescent="0.35">
      <c r="A16" s="33" t="s">
        <v>115</v>
      </c>
      <c r="B16" s="34" t="s">
        <v>116</v>
      </c>
      <c r="C16" s="34" t="str">
        <f t="shared" ref="C16:C17" si="2">CONCATENATE(A16, " (",B16,")")</f>
        <v>B (eksternal)</v>
      </c>
    </row>
    <row r="17" spans="1:3" ht="14.55" x14ac:dyDescent="0.35">
      <c r="A17" s="33" t="s">
        <v>117</v>
      </c>
      <c r="B17" s="34" t="s">
        <v>118</v>
      </c>
      <c r="C17" s="34" t="str">
        <f t="shared" si="2"/>
        <v>C (internal dan eksternal)</v>
      </c>
    </row>
    <row r="18" spans="1:3" ht="14.55" x14ac:dyDescent="0.35">
      <c r="A18" s="33" t="s">
        <v>120</v>
      </c>
      <c r="B18" s="34" t="s">
        <v>124</v>
      </c>
      <c r="C18" s="34" t="str">
        <f>CONCATENATE(A18, " (",B18,")")</f>
        <v>AS (internal (Berdampak Signifikan))</v>
      </c>
    </row>
    <row r="19" spans="1:3" ht="14.55" x14ac:dyDescent="0.35">
      <c r="A19" s="33" t="s">
        <v>121</v>
      </c>
      <c r="B19" s="34" t="s">
        <v>125</v>
      </c>
      <c r="C19" s="34" t="str">
        <f t="shared" ref="C19:C20" si="3">CONCATENATE(A19, " (",B19,")")</f>
        <v>BS (eksternal (Berdampak Signifikan))</v>
      </c>
    </row>
    <row r="20" spans="1:3" ht="14.55" x14ac:dyDescent="0.35">
      <c r="A20" s="33" t="s">
        <v>122</v>
      </c>
      <c r="B20" s="34" t="s">
        <v>126</v>
      </c>
      <c r="C20" s="34" t="str">
        <f t="shared" si="3"/>
        <v>CS (internal dan eksternal (Berdampak Signifikan))</v>
      </c>
    </row>
    <row r="21" spans="1:3" x14ac:dyDescent="0.3">
      <c r="A21" s="38"/>
      <c r="B21" s="41"/>
      <c r="C21" s="41"/>
    </row>
    <row r="22" spans="1:3" ht="18" x14ac:dyDescent="0.3">
      <c r="A22" s="31" t="s">
        <v>42</v>
      </c>
    </row>
    <row r="23" spans="1:3" ht="15.6" x14ac:dyDescent="0.3">
      <c r="A23" s="32" t="s">
        <v>110</v>
      </c>
      <c r="B23" s="32" t="s">
        <v>111</v>
      </c>
      <c r="C23" s="32" t="s">
        <v>112</v>
      </c>
    </row>
    <row r="24" spans="1:3" x14ac:dyDescent="0.3">
      <c r="A24" s="55" t="s">
        <v>127</v>
      </c>
      <c r="B24" s="56" t="s">
        <v>128</v>
      </c>
      <c r="C24" s="42" t="str">
        <f>CONCATENATE(A24, " (",B24,")")</f>
        <v>010101 (Bank Umum Konvensional)</v>
      </c>
    </row>
    <row r="25" spans="1:3" x14ac:dyDescent="0.3">
      <c r="A25" s="55" t="s">
        <v>129</v>
      </c>
      <c r="B25" s="56" t="s">
        <v>130</v>
      </c>
      <c r="C25" s="42" t="str">
        <f t="shared" ref="C25:C76" si="4">CONCATENATE(A25, " (",B25,")")</f>
        <v>010102 (Bank Umum Syariah)</v>
      </c>
    </row>
    <row r="26" spans="1:3" x14ac:dyDescent="0.3">
      <c r="A26" s="55" t="s">
        <v>1333</v>
      </c>
      <c r="B26" s="56" t="s">
        <v>1334</v>
      </c>
      <c r="C26" s="42" t="str">
        <f t="shared" si="4"/>
        <v>010201 (BPR Konvensional)</v>
      </c>
    </row>
    <row r="27" spans="1:3" x14ac:dyDescent="0.3">
      <c r="A27" s="55" t="s">
        <v>1335</v>
      </c>
      <c r="B27" s="56" t="s">
        <v>1336</v>
      </c>
      <c r="C27" s="42" t="str">
        <f t="shared" ref="C27" si="5">CONCATENATE(A27, " (",B27,")")</f>
        <v>010202 (BPR Syariah)</v>
      </c>
    </row>
    <row r="28" spans="1:3" x14ac:dyDescent="0.3">
      <c r="A28" s="55" t="s">
        <v>1337</v>
      </c>
      <c r="B28" s="56" t="s">
        <v>1338</v>
      </c>
      <c r="C28" s="42" t="str">
        <f t="shared" si="4"/>
        <v>020101 (Manajer Investasi)</v>
      </c>
    </row>
    <row r="29" spans="1:3" ht="28.8" x14ac:dyDescent="0.3">
      <c r="A29" s="55" t="s">
        <v>1339</v>
      </c>
      <c r="B29" s="56" t="s">
        <v>1340</v>
      </c>
      <c r="C29" s="42" t="str">
        <f t="shared" si="4"/>
        <v>020301 (Perantara Pedagang Efek yang Mengadministrasikan Rekening Efek Nasabah)</v>
      </c>
    </row>
    <row r="30" spans="1:3" ht="28.8" x14ac:dyDescent="0.3">
      <c r="A30" s="55" t="s">
        <v>1341</v>
      </c>
      <c r="B30" s="56" t="s">
        <v>1342</v>
      </c>
      <c r="C30" s="42" t="str">
        <f t="shared" si="4"/>
        <v>020302 (Perantara Pedagang Efek yang Tidak Mengadministrasikan Rekening Efek Nasabah)</v>
      </c>
    </row>
    <row r="31" spans="1:3" x14ac:dyDescent="0.3">
      <c r="A31" s="55" t="s">
        <v>1343</v>
      </c>
      <c r="B31" s="56" t="s">
        <v>1344</v>
      </c>
      <c r="C31" s="42" t="str">
        <f t="shared" si="4"/>
        <v>021002 (Perusahaan Pemeringkat Efek)</v>
      </c>
    </row>
    <row r="32" spans="1:3" x14ac:dyDescent="0.3">
      <c r="A32" s="55" t="s">
        <v>1345</v>
      </c>
      <c r="B32" s="56" t="s">
        <v>1346</v>
      </c>
      <c r="C32" s="42" t="str">
        <f t="shared" si="4"/>
        <v>021003 (Biro Administrasi Efek)</v>
      </c>
    </row>
    <row r="33" spans="1:3" x14ac:dyDescent="0.3">
      <c r="A33" s="55" t="s">
        <v>1347</v>
      </c>
      <c r="B33" s="57" t="s">
        <v>1348</v>
      </c>
      <c r="C33" s="42" t="str">
        <f t="shared" si="4"/>
        <v>020102 (Manajer Investasi Syariah)</v>
      </c>
    </row>
    <row r="34" spans="1:3" x14ac:dyDescent="0.3">
      <c r="A34" s="66" t="s">
        <v>1407</v>
      </c>
      <c r="B34" s="67" t="s">
        <v>1408</v>
      </c>
      <c r="C34" s="42" t="str">
        <f t="shared" si="4"/>
        <v>020303 (Penjamin Emisi Efek)</v>
      </c>
    </row>
    <row r="35" spans="1:3" x14ac:dyDescent="0.3">
      <c r="A35" s="66" t="s">
        <v>1409</v>
      </c>
      <c r="B35" s="67" t="s">
        <v>1410</v>
      </c>
      <c r="C35" s="42" t="str">
        <f t="shared" si="4"/>
        <v>? (Perusahaan Efek)</v>
      </c>
    </row>
    <row r="36" spans="1:3" x14ac:dyDescent="0.3">
      <c r="A36" s="66" t="s">
        <v>1409</v>
      </c>
      <c r="B36" s="67" t="s">
        <v>1411</v>
      </c>
      <c r="C36" s="42" t="str">
        <f t="shared" si="4"/>
        <v>? (Penasihat Investasi)</v>
      </c>
    </row>
    <row r="37" spans="1:3" x14ac:dyDescent="0.3">
      <c r="A37" s="66" t="s">
        <v>1409</v>
      </c>
      <c r="B37" s="67" t="s">
        <v>1412</v>
      </c>
      <c r="C37" s="42" t="str">
        <f t="shared" si="4"/>
        <v>? (Penyelenggara Layanan Urun Dana)</v>
      </c>
    </row>
    <row r="38" spans="1:3" ht="28.8" x14ac:dyDescent="0.3">
      <c r="A38" s="55" t="s">
        <v>1349</v>
      </c>
      <c r="B38" s="56" t="s">
        <v>1350</v>
      </c>
      <c r="C38" s="42" t="str">
        <f t="shared" si="4"/>
        <v>030416 (Perusahaan Penyelenggara Layanan Pinjam Meminjam Uang Berbasis Teknologi)</v>
      </c>
    </row>
    <row r="39" spans="1:3" x14ac:dyDescent="0.3">
      <c r="A39" s="55" t="s">
        <v>1351</v>
      </c>
      <c r="B39" s="56" t="s">
        <v>1352</v>
      </c>
      <c r="C39" s="42" t="str">
        <f t="shared" si="4"/>
        <v>031201 (Asuransi Jiwa Konvensional)</v>
      </c>
    </row>
    <row r="40" spans="1:3" x14ac:dyDescent="0.3">
      <c r="A40" s="55" t="s">
        <v>1353</v>
      </c>
      <c r="B40" s="56" t="s">
        <v>1354</v>
      </c>
      <c r="C40" s="42" t="str">
        <f t="shared" si="4"/>
        <v>031202 (Asuransi Umum Konvensional)</v>
      </c>
    </row>
    <row r="41" spans="1:3" x14ac:dyDescent="0.3">
      <c r="A41" s="55" t="s">
        <v>1355</v>
      </c>
      <c r="B41" s="56" t="s">
        <v>1356</v>
      </c>
      <c r="C41" s="42" t="str">
        <f t="shared" si="4"/>
        <v>031204 (Asuransi Jiwa Syariah)</v>
      </c>
    </row>
    <row r="42" spans="1:3" x14ac:dyDescent="0.3">
      <c r="A42" s="55" t="s">
        <v>1357</v>
      </c>
      <c r="B42" s="56" t="s">
        <v>1358</v>
      </c>
      <c r="C42" s="42" t="str">
        <f t="shared" si="4"/>
        <v>031205 (Asuransi Umum Syariah)</v>
      </c>
    </row>
    <row r="43" spans="1:3" x14ac:dyDescent="0.3">
      <c r="A43" s="55" t="s">
        <v>1359</v>
      </c>
      <c r="B43" s="56" t="s">
        <v>1360</v>
      </c>
      <c r="C43" s="42" t="str">
        <f t="shared" si="4"/>
        <v>030488 (Bank Wakaf Mikro)</v>
      </c>
    </row>
    <row r="44" spans="1:3" x14ac:dyDescent="0.3">
      <c r="A44" s="55" t="s">
        <v>1331</v>
      </c>
      <c r="B44" s="56" t="s">
        <v>1332</v>
      </c>
      <c r="C44" s="42" t="str">
        <f t="shared" si="4"/>
        <v>030401 (Perusahaan Pergadaian Konvensional)</v>
      </c>
    </row>
    <row r="45" spans="1:3" x14ac:dyDescent="0.3">
      <c r="A45" s="55" t="s">
        <v>1361</v>
      </c>
      <c r="B45" s="56" t="s">
        <v>1362</v>
      </c>
      <c r="C45" s="42" t="str">
        <f t="shared" si="4"/>
        <v>030402 (Perusahaan Pergadaian Syariah)</v>
      </c>
    </row>
    <row r="46" spans="1:3" ht="28.8" x14ac:dyDescent="0.3">
      <c r="A46" s="55" t="s">
        <v>1363</v>
      </c>
      <c r="B46" s="56" t="s">
        <v>1364</v>
      </c>
      <c r="C46" s="42" t="str">
        <f t="shared" si="4"/>
        <v>030417 (Perusahaan Penyelenggara Layanan Pinjam Meminjam Uang Berbasis Teknologi Syariah)</v>
      </c>
    </row>
    <row r="47" spans="1:3" x14ac:dyDescent="0.3">
      <c r="A47" s="66" t="s">
        <v>1409</v>
      </c>
      <c r="B47" s="67" t="s">
        <v>1413</v>
      </c>
      <c r="C47" s="42" t="str">
        <f t="shared" si="4"/>
        <v>? (ITSK AKD AK)</v>
      </c>
    </row>
    <row r="48" spans="1:3" x14ac:dyDescent="0.3">
      <c r="A48" s="66" t="s">
        <v>1409</v>
      </c>
      <c r="B48" s="67" t="s">
        <v>1414</v>
      </c>
      <c r="C48" s="42" t="str">
        <f t="shared" si="4"/>
        <v>? (ITSK non AKD AK)</v>
      </c>
    </row>
    <row r="49" spans="1:3" x14ac:dyDescent="0.3">
      <c r="A49" s="55" t="s">
        <v>1365</v>
      </c>
      <c r="B49" s="56" t="s">
        <v>1366</v>
      </c>
      <c r="C49" s="42" t="str">
        <f t="shared" si="4"/>
        <v>030485 (Lembaga Keuangan Mikro Konvensional)</v>
      </c>
    </row>
    <row r="50" spans="1:3" x14ac:dyDescent="0.3">
      <c r="A50" s="55" t="s">
        <v>1367</v>
      </c>
      <c r="B50" s="56" t="s">
        <v>1368</v>
      </c>
      <c r="C50" s="42" t="str">
        <f t="shared" si="4"/>
        <v>030486 (Lembaga Keuangan Mikro Syariah)</v>
      </c>
    </row>
    <row r="51" spans="1:3" x14ac:dyDescent="0.3">
      <c r="A51" s="55" t="s">
        <v>1415</v>
      </c>
      <c r="B51" s="67" t="s">
        <v>1416</v>
      </c>
      <c r="C51" s="42" t="str">
        <f t="shared" si="4"/>
        <v>030491 (LJK Lainnya)</v>
      </c>
    </row>
    <row r="52" spans="1:3" x14ac:dyDescent="0.3">
      <c r="A52" s="55" t="s">
        <v>1369</v>
      </c>
      <c r="B52" s="56" t="s">
        <v>1370</v>
      </c>
      <c r="C52" s="42" t="str">
        <f t="shared" si="4"/>
        <v>031401 (Perusahaan Pembiayaan Konvensional)</v>
      </c>
    </row>
    <row r="53" spans="1:3" x14ac:dyDescent="0.3">
      <c r="A53" s="55" t="s">
        <v>1371</v>
      </c>
      <c r="B53" s="56" t="s">
        <v>1372</v>
      </c>
      <c r="C53" s="42" t="str">
        <f t="shared" si="4"/>
        <v>031402 (Perusahaan Pembiayaan Syariah)</v>
      </c>
    </row>
    <row r="54" spans="1:3" x14ac:dyDescent="0.3">
      <c r="A54" s="55" t="s">
        <v>1373</v>
      </c>
      <c r="B54" s="56" t="s">
        <v>1374</v>
      </c>
      <c r="C54" s="42" t="str">
        <f t="shared" si="4"/>
        <v>031203 (Reasuransi Konvensional)</v>
      </c>
    </row>
    <row r="55" spans="1:3" x14ac:dyDescent="0.3">
      <c r="A55" s="55" t="s">
        <v>1375</v>
      </c>
      <c r="B55" s="56" t="s">
        <v>1376</v>
      </c>
      <c r="C55" s="42" t="str">
        <f t="shared" si="4"/>
        <v>031206 (Reasuransi Syariah)</v>
      </c>
    </row>
    <row r="56" spans="1:3" x14ac:dyDescent="0.3">
      <c r="A56" s="55" t="s">
        <v>1377</v>
      </c>
      <c r="B56" s="56" t="s">
        <v>1378</v>
      </c>
      <c r="C56" s="42" t="str">
        <f t="shared" si="4"/>
        <v>030403 (Perusahaan Penjaminan Konvensional)</v>
      </c>
    </row>
    <row r="57" spans="1:3" x14ac:dyDescent="0.3">
      <c r="A57" s="55" t="s">
        <v>1379</v>
      </c>
      <c r="B57" s="56" t="s">
        <v>1380</v>
      </c>
      <c r="C57" s="42" t="str">
        <f t="shared" si="4"/>
        <v>030404 (Perusahaan Penjaminan Syariah)</v>
      </c>
    </row>
    <row r="58" spans="1:3" x14ac:dyDescent="0.3">
      <c r="A58" s="55" t="s">
        <v>1381</v>
      </c>
      <c r="B58" s="56" t="s">
        <v>1382</v>
      </c>
      <c r="C58" s="42" t="str">
        <f t="shared" si="4"/>
        <v>031403 (Perusahaan Modal Ventura Konvensional)</v>
      </c>
    </row>
    <row r="59" spans="1:3" x14ac:dyDescent="0.3">
      <c r="A59" s="55" t="s">
        <v>1383</v>
      </c>
      <c r="B59" s="56" t="s">
        <v>1384</v>
      </c>
      <c r="C59" s="42" t="str">
        <f t="shared" si="4"/>
        <v>031404 (Perusahaan Modal Ventura Syariah)</v>
      </c>
    </row>
    <row r="60" spans="1:3" x14ac:dyDescent="0.3">
      <c r="A60" s="55" t="s">
        <v>1385</v>
      </c>
      <c r="B60" s="56" t="s">
        <v>1386</v>
      </c>
      <c r="C60" s="42" t="str">
        <f t="shared" si="4"/>
        <v>031405 (Perusahaan Pembiayaan Infrastruktur)</v>
      </c>
    </row>
    <row r="61" spans="1:3" x14ac:dyDescent="0.3">
      <c r="A61" s="55" t="s">
        <v>131</v>
      </c>
      <c r="B61" s="56" t="s">
        <v>132</v>
      </c>
      <c r="C61" s="42" t="str">
        <f t="shared" si="4"/>
        <v>031301 (Dana Pensiun Pemberi Kerja Konvensional)</v>
      </c>
    </row>
    <row r="62" spans="1:3" x14ac:dyDescent="0.3">
      <c r="A62" s="55" t="s">
        <v>133</v>
      </c>
      <c r="B62" s="56" t="s">
        <v>134</v>
      </c>
      <c r="C62" s="42" t="str">
        <f t="shared" si="4"/>
        <v>031303 (Dana Pensiun Pemberi Kerja Syariah)</v>
      </c>
    </row>
    <row r="63" spans="1:3" ht="28.8" x14ac:dyDescent="0.3">
      <c r="A63" s="55" t="s">
        <v>1387</v>
      </c>
      <c r="B63" s="56" t="s">
        <v>1388</v>
      </c>
      <c r="C63" s="42" t="str">
        <f t="shared" si="4"/>
        <v>031302 (Dana Pensiun Lembaga Keuangan Konvensional)</v>
      </c>
    </row>
    <row r="64" spans="1:3" x14ac:dyDescent="0.3">
      <c r="A64" s="55" t="s">
        <v>1389</v>
      </c>
      <c r="B64" s="56" t="s">
        <v>1390</v>
      </c>
      <c r="C64" s="42" t="str">
        <f t="shared" si="4"/>
        <v>031304 (Dana Pensiun Lembaga Keuangan Syariah)</v>
      </c>
    </row>
    <row r="65" spans="1:3" x14ac:dyDescent="0.3">
      <c r="A65" s="55" t="s">
        <v>1391</v>
      </c>
      <c r="B65" s="56" t="s">
        <v>1392</v>
      </c>
      <c r="C65" s="42" t="str">
        <f t="shared" si="4"/>
        <v>031207 (Pialang Asuransi)</v>
      </c>
    </row>
    <row r="66" spans="1:3" x14ac:dyDescent="0.3">
      <c r="A66" s="55" t="s">
        <v>1393</v>
      </c>
      <c r="B66" s="56" t="s">
        <v>1394</v>
      </c>
      <c r="C66" s="42" t="str">
        <f t="shared" si="4"/>
        <v>031209 (Pialang Reasuransi)</v>
      </c>
    </row>
    <row r="67" spans="1:3" x14ac:dyDescent="0.3">
      <c r="A67" s="55" t="s">
        <v>1395</v>
      </c>
      <c r="B67" s="56" t="s">
        <v>1396</v>
      </c>
      <c r="C67" s="42" t="str">
        <f t="shared" si="4"/>
        <v>031210 (Penilai Kerugian Asuransi)</v>
      </c>
    </row>
    <row r="68" spans="1:3" x14ac:dyDescent="0.3">
      <c r="A68" s="66" t="s">
        <v>1409</v>
      </c>
      <c r="B68" s="67" t="s">
        <v>1417</v>
      </c>
      <c r="C68" s="42" t="str">
        <f t="shared" si="4"/>
        <v>? (Lembaga Pembiayaan Ekspor Indonesia)</v>
      </c>
    </row>
    <row r="69" spans="1:3" x14ac:dyDescent="0.3">
      <c r="A69" s="66" t="s">
        <v>1409</v>
      </c>
      <c r="B69" s="67" t="s">
        <v>1418</v>
      </c>
      <c r="C69" s="42" t="str">
        <f t="shared" si="4"/>
        <v>? (Perusahaan Pembiayaan Sekunder Perumahan)</v>
      </c>
    </row>
    <row r="70" spans="1:3" x14ac:dyDescent="0.3">
      <c r="A70" s="66" t="s">
        <v>1409</v>
      </c>
      <c r="B70" s="67" t="s">
        <v>1419</v>
      </c>
      <c r="C70" s="42" t="str">
        <f t="shared" si="4"/>
        <v>? (Perusahan Penjaminan Ulang Konvensional)</v>
      </c>
    </row>
    <row r="71" spans="1:3" x14ac:dyDescent="0.3">
      <c r="A71" s="66" t="s">
        <v>1409</v>
      </c>
      <c r="B71" s="67" t="s">
        <v>1420</v>
      </c>
      <c r="C71" s="42" t="str">
        <f t="shared" si="4"/>
        <v>? (Perusahaan Penjaminan Ulang Syariah)</v>
      </c>
    </row>
    <row r="72" spans="1:3" x14ac:dyDescent="0.3">
      <c r="A72" s="66" t="s">
        <v>1409</v>
      </c>
      <c r="B72" s="67" t="s">
        <v>1421</v>
      </c>
      <c r="C72" s="42" t="str">
        <f t="shared" si="4"/>
        <v>? (PT. Sarana Multi Infrastruktur)</v>
      </c>
    </row>
    <row r="73" spans="1:3" x14ac:dyDescent="0.3">
      <c r="A73" s="66" t="s">
        <v>1409</v>
      </c>
      <c r="B73" s="67" t="s">
        <v>1422</v>
      </c>
      <c r="C73" s="42" t="str">
        <f t="shared" si="4"/>
        <v>? (PT. Sarana Multigriya Finansial)</v>
      </c>
    </row>
    <row r="74" spans="1:3" x14ac:dyDescent="0.3">
      <c r="A74" s="66" t="s">
        <v>1409</v>
      </c>
      <c r="B74" s="67" t="s">
        <v>1423</v>
      </c>
      <c r="C74" s="42" t="str">
        <f t="shared" si="4"/>
        <v>? (BP. Tapera)</v>
      </c>
    </row>
    <row r="75" spans="1:3" x14ac:dyDescent="0.3">
      <c r="A75" s="66" t="s">
        <v>1409</v>
      </c>
      <c r="B75" s="67" t="s">
        <v>1424</v>
      </c>
      <c r="C75" s="42" t="str">
        <f t="shared" si="4"/>
        <v>? (PT. PNM)</v>
      </c>
    </row>
    <row r="76" spans="1:3" x14ac:dyDescent="0.3">
      <c r="A76" s="66" t="s">
        <v>1409</v>
      </c>
      <c r="B76" s="67" t="s">
        <v>1425</v>
      </c>
      <c r="C76" s="42" t="str">
        <f t="shared" si="4"/>
        <v>? (PT. Indonesia Infrastructure Finance)</v>
      </c>
    </row>
    <row r="78" spans="1:3" ht="18" x14ac:dyDescent="0.3">
      <c r="A78" s="31" t="s">
        <v>61</v>
      </c>
    </row>
    <row r="79" spans="1:3" ht="15.6" x14ac:dyDescent="0.3">
      <c r="A79" s="32" t="s">
        <v>110</v>
      </c>
      <c r="B79" s="32" t="s">
        <v>111</v>
      </c>
      <c r="C79" s="32" t="s">
        <v>112</v>
      </c>
    </row>
    <row r="80" spans="1:3" x14ac:dyDescent="0.3">
      <c r="A80" s="33">
        <v>201</v>
      </c>
      <c r="B80" s="34" t="s">
        <v>135</v>
      </c>
      <c r="C80" s="34" t="str">
        <f>CONCATENATE(A80, " (",B80,")")</f>
        <v>201 (Korupsi (Pemerasan))</v>
      </c>
    </row>
    <row r="81" spans="1:3" x14ac:dyDescent="0.3">
      <c r="A81" s="33">
        <v>202</v>
      </c>
      <c r="B81" s="34" t="s">
        <v>136</v>
      </c>
      <c r="C81" s="34" t="str">
        <f t="shared" ref="C81:C82" si="6">CONCATENATE(A81, " (",B81,")")</f>
        <v>202 (Korupsi (Benturan kepentingan…))</v>
      </c>
    </row>
    <row r="82" spans="1:3" x14ac:dyDescent="0.3">
      <c r="A82" s="33">
        <v>203</v>
      </c>
      <c r="B82" s="34" t="s">
        <v>137</v>
      </c>
      <c r="C82" s="34" t="str">
        <f t="shared" si="6"/>
        <v>203 (Korupsi (Penyuapan))</v>
      </c>
    </row>
    <row r="83" spans="1:3" x14ac:dyDescent="0.3">
      <c r="A83" s="33">
        <v>204</v>
      </c>
      <c r="B83" s="34" t="s">
        <v>138</v>
      </c>
      <c r="C83" s="34" t="str">
        <f>CONCATENATE(A83, " (",B83,")")</f>
        <v>204 (Korupsi (Penerimaan tidak sah))</v>
      </c>
    </row>
    <row r="84" spans="1:3" x14ac:dyDescent="0.3">
      <c r="A84" s="33">
        <v>301</v>
      </c>
      <c r="B84" s="34" t="s">
        <v>139</v>
      </c>
      <c r="C84" s="34" t="str">
        <f t="shared" ref="C84:C90" si="7">CONCATENATE(A84, " (",B84,")")</f>
        <v>301 (Penyalahgunaan aset (uang tunai))</v>
      </c>
    </row>
    <row r="85" spans="1:3" x14ac:dyDescent="0.3">
      <c r="A85" s="33">
        <v>302</v>
      </c>
      <c r="B85" s="34" t="s">
        <v>140</v>
      </c>
      <c r="C85" s="34" t="str">
        <f t="shared" si="7"/>
        <v>302 (Penyalahgunaan aset (persediaan))</v>
      </c>
    </row>
    <row r="86" spans="1:3" x14ac:dyDescent="0.3">
      <c r="A86" s="33">
        <v>303</v>
      </c>
      <c r="B86" s="34" t="s">
        <v>141</v>
      </c>
      <c r="C86" s="34" t="str">
        <f t="shared" si="7"/>
        <v>303 (Penyalahgunaan aset (lainnya))</v>
      </c>
    </row>
    <row r="87" spans="1:3" x14ac:dyDescent="0.3">
      <c r="A87" s="33">
        <v>401</v>
      </c>
      <c r="B87" s="34" t="s">
        <v>142</v>
      </c>
      <c r="C87" s="34" t="str">
        <f t="shared" si="7"/>
        <v>401 (Kecurangan laporan keuangan)</v>
      </c>
    </row>
    <row r="88" spans="1:3" x14ac:dyDescent="0.3">
      <c r="A88" s="33">
        <v>501</v>
      </c>
      <c r="B88" s="34" t="s">
        <v>143</v>
      </c>
      <c r="C88" s="34" t="str">
        <f t="shared" si="7"/>
        <v>501 (Penipuan)</v>
      </c>
    </row>
    <row r="89" spans="1:3" x14ac:dyDescent="0.3">
      <c r="A89" s="33">
        <v>601</v>
      </c>
      <c r="B89" s="34" t="s">
        <v>144</v>
      </c>
      <c r="C89" s="34" t="str">
        <f t="shared" si="7"/>
        <v>601 (Pembocoran informasi rahasia)</v>
      </c>
    </row>
    <row r="90" spans="1:3" ht="28.8" x14ac:dyDescent="0.3">
      <c r="A90" s="33">
        <v>701</v>
      </c>
      <c r="B90" s="34" t="s">
        <v>145</v>
      </c>
      <c r="C90" s="34" t="str">
        <f t="shared" si="7"/>
        <v>701 (Tindakan lain yang dapat dipersamakan dengan fraud)</v>
      </c>
    </row>
    <row r="92" spans="1:3" ht="18" x14ac:dyDescent="0.3">
      <c r="A92" s="31" t="s">
        <v>146</v>
      </c>
    </row>
    <row r="93" spans="1:3" ht="15.6" x14ac:dyDescent="0.3">
      <c r="A93" s="32" t="s">
        <v>110</v>
      </c>
      <c r="B93" s="32" t="s">
        <v>111</v>
      </c>
      <c r="C93" s="32" t="s">
        <v>112</v>
      </c>
    </row>
    <row r="94" spans="1:3" x14ac:dyDescent="0.3">
      <c r="A94" s="33">
        <v>301</v>
      </c>
      <c r="B94" s="34" t="s">
        <v>147</v>
      </c>
      <c r="C94" s="34" t="str">
        <f>CONCATENATE(A94, " (",B94,")")</f>
        <v>301 (Pendanaan )</v>
      </c>
    </row>
    <row r="95" spans="1:3" x14ac:dyDescent="0.3">
      <c r="A95" s="33">
        <v>302</v>
      </c>
      <c r="B95" s="34" t="s">
        <v>148</v>
      </c>
      <c r="C95" s="34" t="str">
        <f t="shared" ref="C95:C96" si="8">CONCATENATE(A95, " (",B95,")")</f>
        <v>302 (Perkreditan/pembiayaan)</v>
      </c>
    </row>
    <row r="96" spans="1:3" ht="28.8" x14ac:dyDescent="0.3">
      <c r="A96" s="33">
        <v>303</v>
      </c>
      <c r="B96" s="34" t="s">
        <v>149</v>
      </c>
      <c r="C96" s="34" t="str">
        <f t="shared" si="8"/>
        <v>303 (Penggunaan identitas dan data orang, pihak lain, atau konsumen)</v>
      </c>
    </row>
    <row r="97" spans="1:3" x14ac:dyDescent="0.3">
      <c r="A97" s="33">
        <v>304</v>
      </c>
      <c r="B97" s="34" t="s">
        <v>150</v>
      </c>
      <c r="C97" s="34" t="str">
        <f>CONCATENATE(A97, " (",B97,")")</f>
        <v>304 (Pengelolaan aset /investasi)</v>
      </c>
    </row>
    <row r="98" spans="1:3" x14ac:dyDescent="0.3">
      <c r="A98" s="33">
        <v>305</v>
      </c>
      <c r="B98" s="34" t="s">
        <v>151</v>
      </c>
      <c r="C98" s="34" t="str">
        <f t="shared" ref="C98:C121" si="9">CONCATENATE(A98, " (",B98,")")</f>
        <v>305 (Penggunaan siber )</v>
      </c>
    </row>
    <row r="99" spans="1:3" x14ac:dyDescent="0.3">
      <c r="A99" s="33">
        <v>306</v>
      </c>
      <c r="B99" s="34" t="s">
        <v>152</v>
      </c>
      <c r="C99" s="34" t="str">
        <f t="shared" si="9"/>
        <v>306 (Pembukuan dan penyajian laporan keuangan )</v>
      </c>
    </row>
    <row r="100" spans="1:3" ht="57.6" x14ac:dyDescent="0.3">
      <c r="A100" s="33">
        <v>307</v>
      </c>
      <c r="B100" s="34" t="s">
        <v>153</v>
      </c>
      <c r="C100" s="34" t="str">
        <f t="shared" si="9"/>
        <v>307 (Anti pencucian uang (APU), pencegahan pendanaan terorisme (PPT) dan pencegahan pendanaan proliferasi senjata pemusnah massal (PPPSPM))</v>
      </c>
    </row>
    <row r="101" spans="1:3" x14ac:dyDescent="0.3">
      <c r="A101" s="33">
        <v>308</v>
      </c>
      <c r="B101" s="34" t="s">
        <v>154</v>
      </c>
      <c r="C101" s="34" t="str">
        <f t="shared" si="9"/>
        <v>308 (Transaksi efek )</v>
      </c>
    </row>
    <row r="102" spans="1:3" x14ac:dyDescent="0.3">
      <c r="A102" s="33">
        <v>309</v>
      </c>
      <c r="B102" s="34" t="s">
        <v>155</v>
      </c>
      <c r="C102" s="34" t="str">
        <f t="shared" si="9"/>
        <v>309 (Pemasaran )</v>
      </c>
    </row>
    <row r="103" spans="1:3" x14ac:dyDescent="0.3">
      <c r="A103" s="33">
        <v>310</v>
      </c>
      <c r="B103" s="34" t="s">
        <v>156</v>
      </c>
      <c r="C103" s="34" t="str">
        <f t="shared" si="9"/>
        <v>310 (Kustodian)</v>
      </c>
    </row>
    <row r="104" spans="1:3" x14ac:dyDescent="0.3">
      <c r="A104" s="33">
        <v>311</v>
      </c>
      <c r="B104" s="34" t="s">
        <v>157</v>
      </c>
      <c r="C104" s="34" t="str">
        <f t="shared" si="9"/>
        <v>311 (Penjatahan efek)</v>
      </c>
    </row>
    <row r="105" spans="1:3" x14ac:dyDescent="0.3">
      <c r="A105" s="33">
        <v>312</v>
      </c>
      <c r="B105" s="34" t="s">
        <v>158</v>
      </c>
      <c r="C105" s="34" t="str">
        <f t="shared" si="9"/>
        <v>312 (Due diligence penjaminan emisi efek)</v>
      </c>
    </row>
    <row r="106" spans="1:3" x14ac:dyDescent="0.3">
      <c r="A106" s="33">
        <v>313</v>
      </c>
      <c r="B106" s="34" t="s">
        <v>159</v>
      </c>
      <c r="C106" s="34" t="str">
        <f t="shared" si="9"/>
        <v>313 (Riset investasi)</v>
      </c>
    </row>
    <row r="107" spans="1:3" x14ac:dyDescent="0.3">
      <c r="A107" s="33">
        <v>314</v>
      </c>
      <c r="B107" s="34" t="s">
        <v>160</v>
      </c>
      <c r="C107" s="34" t="str">
        <f t="shared" si="9"/>
        <v>314 (Proses underwriting )</v>
      </c>
    </row>
    <row r="108" spans="1:3" ht="28.8" x14ac:dyDescent="0.3">
      <c r="A108" s="33">
        <v>315</v>
      </c>
      <c r="B108" s="34" t="s">
        <v>161</v>
      </c>
      <c r="C108" s="34" t="str">
        <f t="shared" si="9"/>
        <v>315 (Pengelolaan iuran/premi/kontribusi/imbalan jasa penjaminan/kafalah)</v>
      </c>
    </row>
    <row r="109" spans="1:3" x14ac:dyDescent="0.3">
      <c r="A109" s="33">
        <v>316</v>
      </c>
      <c r="B109" s="34" t="s">
        <v>162</v>
      </c>
      <c r="C109" s="34" t="str">
        <f t="shared" si="9"/>
        <v>316 (Pengurusan klaim/manfaat pensiun)</v>
      </c>
    </row>
    <row r="110" spans="1:3" x14ac:dyDescent="0.3">
      <c r="A110" s="33">
        <v>317</v>
      </c>
      <c r="B110" s="34" t="s">
        <v>163</v>
      </c>
      <c r="C110" s="34" t="str">
        <f t="shared" si="9"/>
        <v>317 (Penilaian kerugian asuransi)</v>
      </c>
    </row>
    <row r="111" spans="1:3" x14ac:dyDescent="0.3">
      <c r="A111" s="33">
        <v>318</v>
      </c>
      <c r="B111" s="34" t="s">
        <v>164</v>
      </c>
      <c r="C111" s="34" t="str">
        <f t="shared" si="9"/>
        <v>318 (Proses pemilihan asuransi/reasuransi)</v>
      </c>
    </row>
    <row r="112" spans="1:3" x14ac:dyDescent="0.3">
      <c r="A112" s="33">
        <v>319</v>
      </c>
      <c r="B112" s="34" t="s">
        <v>165</v>
      </c>
      <c r="C112" s="34" t="str">
        <f t="shared" si="9"/>
        <v>319 (Pengelolaan surplus underwriting)</v>
      </c>
    </row>
    <row r="113" spans="1:3" x14ac:dyDescent="0.3">
      <c r="A113" s="33">
        <v>320</v>
      </c>
      <c r="B113" s="34" t="s">
        <v>166</v>
      </c>
      <c r="C113" s="34" t="str">
        <f t="shared" si="9"/>
        <v>320 (Pengelolaan data kepesertaan )</v>
      </c>
    </row>
    <row r="114" spans="1:3" x14ac:dyDescent="0.3">
      <c r="A114" s="33">
        <v>321</v>
      </c>
      <c r="B114" s="34" t="s">
        <v>167</v>
      </c>
      <c r="C114" s="34" t="str">
        <f t="shared" si="9"/>
        <v>321 (Proses subrogasi)</v>
      </c>
    </row>
    <row r="115" spans="1:3" x14ac:dyDescent="0.3">
      <c r="A115" s="33">
        <v>322</v>
      </c>
      <c r="B115" s="34" t="s">
        <v>168</v>
      </c>
      <c r="C115" s="34" t="str">
        <f t="shared" si="9"/>
        <v>322 (Pemberian jasa manajemen)</v>
      </c>
    </row>
    <row r="116" spans="1:3" ht="28.8" x14ac:dyDescent="0.3">
      <c r="A116" s="33">
        <v>323</v>
      </c>
      <c r="B116" s="34" t="s">
        <v>169</v>
      </c>
      <c r="C116" s="34" t="str">
        <f t="shared" si="9"/>
        <v>323 (Layanan pendanaan bersama berbasis teknologi informasi )</v>
      </c>
    </row>
    <row r="117" spans="1:3" x14ac:dyDescent="0.3">
      <c r="A117" s="33">
        <v>324</v>
      </c>
      <c r="B117" s="34" t="s">
        <v>170</v>
      </c>
      <c r="C117" s="34" t="str">
        <f t="shared" si="9"/>
        <v>324 (Bullion)</v>
      </c>
    </row>
    <row r="118" spans="1:3" x14ac:dyDescent="0.3">
      <c r="A118" s="33">
        <v>325</v>
      </c>
      <c r="B118" s="34" t="s">
        <v>171</v>
      </c>
      <c r="C118" s="34" t="str">
        <f t="shared" si="9"/>
        <v>325 (Sekuritisasi)</v>
      </c>
    </row>
    <row r="119" spans="1:3" x14ac:dyDescent="0.3">
      <c r="A119" s="33">
        <v>326</v>
      </c>
      <c r="B119" s="34" t="s">
        <v>172</v>
      </c>
      <c r="C119" s="34" t="str">
        <f t="shared" si="9"/>
        <v>326 (Pendukung Pasar)</v>
      </c>
    </row>
    <row r="120" spans="1:3" ht="28.8" x14ac:dyDescent="0.3">
      <c r="A120" s="33">
        <v>327</v>
      </c>
      <c r="B120" s="34" t="s">
        <v>173</v>
      </c>
      <c r="C120" s="34" t="str">
        <f t="shared" si="9"/>
        <v>327 (Aktivitas terkait Aset Keuangan Digital, termasuk Aset Kripto)</v>
      </c>
    </row>
    <row r="121" spans="1:3" x14ac:dyDescent="0.3">
      <c r="A121" s="33">
        <v>399</v>
      </c>
      <c r="B121" s="34" t="s">
        <v>174</v>
      </c>
      <c r="C121" s="34" t="str">
        <f t="shared" si="9"/>
        <v>399 (Aktivitas lain )</v>
      </c>
    </row>
    <row r="123" spans="1:3" ht="18" x14ac:dyDescent="0.3">
      <c r="A123" s="31" t="s">
        <v>62</v>
      </c>
    </row>
    <row r="124" spans="1:3" ht="15.6" x14ac:dyDescent="0.3">
      <c r="A124" s="32" t="s">
        <v>110</v>
      </c>
      <c r="B124" s="32" t="s">
        <v>111</v>
      </c>
      <c r="C124" s="32" t="s">
        <v>112</v>
      </c>
    </row>
    <row r="125" spans="1:3" x14ac:dyDescent="0.3">
      <c r="A125" s="33" t="s">
        <v>175</v>
      </c>
      <c r="B125" s="34" t="s">
        <v>176</v>
      </c>
      <c r="C125" s="34" t="str">
        <f>CONCATENATE(A125, " (",B125,")")</f>
        <v>01 (Kantor Pusat Operasional )</v>
      </c>
    </row>
    <row r="126" spans="1:3" x14ac:dyDescent="0.3">
      <c r="A126" s="33" t="s">
        <v>177</v>
      </c>
      <c r="B126" s="34" t="s">
        <v>178</v>
      </c>
      <c r="C126" s="34" t="str">
        <f t="shared" ref="C126:C127" si="10">CONCATENATE(A126, " (",B126,")")</f>
        <v>02 (Kantor Pusat Non Operasional )</v>
      </c>
    </row>
    <row r="127" spans="1:3" ht="28.8" x14ac:dyDescent="0.3">
      <c r="A127" s="33" t="s">
        <v>179</v>
      </c>
      <c r="B127" s="34" t="s">
        <v>180</v>
      </c>
      <c r="C127" s="34" t="str">
        <f t="shared" si="10"/>
        <v>03 (Kantor Cabang LJK yang berkedudukan di Luar Negeri )</v>
      </c>
    </row>
    <row r="128" spans="1:3" x14ac:dyDescent="0.3">
      <c r="A128" s="33" t="s">
        <v>181</v>
      </c>
      <c r="B128" s="34" t="s">
        <v>182</v>
      </c>
      <c r="C128" s="34" t="str">
        <f>CONCATENATE(A128, " (",B128,")")</f>
        <v>04 (Kantor Wilayah )</v>
      </c>
    </row>
    <row r="129" spans="1:3" x14ac:dyDescent="0.3">
      <c r="A129" s="33" t="s">
        <v>183</v>
      </c>
      <c r="B129" s="34" t="s">
        <v>184</v>
      </c>
      <c r="C129" s="34" t="str">
        <f t="shared" ref="C129:C139" si="11">CONCATENATE(A129, " (",B129,")")</f>
        <v>05 (Kantor Cabang (Dalam Negeri) )</v>
      </c>
    </row>
    <row r="130" spans="1:3" ht="28.8" x14ac:dyDescent="0.3">
      <c r="A130" s="33" t="s">
        <v>185</v>
      </c>
      <c r="B130" s="34" t="s">
        <v>186</v>
      </c>
      <c r="C130" s="34" t="str">
        <f t="shared" si="11"/>
        <v>06 (Kantor cabang dari bank yang berada di Luar Negeri)</v>
      </c>
    </row>
    <row r="131" spans="1:3" ht="28.8" x14ac:dyDescent="0.3">
      <c r="A131" s="33" t="s">
        <v>187</v>
      </c>
      <c r="B131" s="34" t="s">
        <v>188</v>
      </c>
      <c r="C131" s="34" t="str">
        <f t="shared" si="11"/>
        <v>07 (Kantor Cabang Pembantu LJK yang berkedudukan di Luar Negeri )</v>
      </c>
    </row>
    <row r="132" spans="1:3" x14ac:dyDescent="0.3">
      <c r="A132" s="33" t="s">
        <v>189</v>
      </c>
      <c r="B132" s="34" t="s">
        <v>190</v>
      </c>
      <c r="C132" s="34" t="str">
        <f t="shared" si="11"/>
        <v>08 (Kantor Cabang Pembantu (Dalam Negeri) )</v>
      </c>
    </row>
    <row r="133" spans="1:3" x14ac:dyDescent="0.3">
      <c r="A133" s="33" t="s">
        <v>191</v>
      </c>
      <c r="B133" s="34" t="s">
        <v>192</v>
      </c>
      <c r="C133" s="34" t="str">
        <f t="shared" si="11"/>
        <v>09 (Kantor Cabang Pembantu (Luar Negeri) )</v>
      </c>
    </row>
    <row r="134" spans="1:3" x14ac:dyDescent="0.3">
      <c r="A134" s="33">
        <v>10</v>
      </c>
      <c r="B134" s="34" t="s">
        <v>193</v>
      </c>
      <c r="C134" s="34" t="str">
        <f t="shared" si="11"/>
        <v>10 (Kantor Kas )</v>
      </c>
    </row>
    <row r="135" spans="1:3" ht="43.2" x14ac:dyDescent="0.3">
      <c r="A135" s="33">
        <v>11</v>
      </c>
      <c r="B135" s="34" t="s">
        <v>194</v>
      </c>
      <c r="C135" s="34" t="str">
        <f t="shared" si="11"/>
        <v>11 (Kantor Fungsional/ Kantor Selain Kantor Cabang/ Kantor Pemasaran Reksadana/Gerai/Unit Layanan (Outlet))</v>
      </c>
    </row>
    <row r="136" spans="1:3" x14ac:dyDescent="0.3">
      <c r="A136" s="33">
        <v>12</v>
      </c>
      <c r="B136" s="34" t="s">
        <v>195</v>
      </c>
      <c r="C136" s="34" t="str">
        <f t="shared" si="11"/>
        <v>12 (Payment Point )</v>
      </c>
    </row>
    <row r="137" spans="1:3" x14ac:dyDescent="0.3">
      <c r="A137" s="33">
        <v>13</v>
      </c>
      <c r="B137" s="34" t="s">
        <v>196</v>
      </c>
      <c r="C137" s="34" t="str">
        <f t="shared" si="11"/>
        <v>13 (Kas Keliling/Kas Mobil/Kas Terapung )</v>
      </c>
    </row>
    <row r="138" spans="1:3" ht="28.8" x14ac:dyDescent="0.3">
      <c r="A138" s="33">
        <v>14</v>
      </c>
      <c r="B138" s="34" t="s">
        <v>197</v>
      </c>
      <c r="C138" s="34" t="str">
        <f t="shared" si="11"/>
        <v>14 (Kantor Perwakilan LJK yang berkedudukan di Luar Negeri )</v>
      </c>
    </row>
    <row r="139" spans="1:3" ht="28.8" x14ac:dyDescent="0.3">
      <c r="A139" s="33">
        <v>15</v>
      </c>
      <c r="B139" s="34" t="s">
        <v>198</v>
      </c>
      <c r="C139" s="34" t="str">
        <f t="shared" si="11"/>
        <v>15 (Automatic Teller Machine/Cash Deposit Machine/Cash Recycling Machine )</v>
      </c>
    </row>
    <row r="141" spans="1:3" ht="18" x14ac:dyDescent="0.3">
      <c r="A141" s="31" t="s">
        <v>199</v>
      </c>
    </row>
    <row r="142" spans="1:3" ht="15.6" x14ac:dyDescent="0.3">
      <c r="A142" s="32" t="s">
        <v>110</v>
      </c>
      <c r="B142" s="32" t="s">
        <v>111</v>
      </c>
      <c r="C142" s="32" t="s">
        <v>112</v>
      </c>
    </row>
    <row r="143" spans="1:3" x14ac:dyDescent="0.3">
      <c r="A143" s="33" t="s">
        <v>200</v>
      </c>
      <c r="B143" s="34" t="s">
        <v>201</v>
      </c>
      <c r="C143" s="34" t="str">
        <f>CONCATENATE(A143, " (",B143,")")</f>
        <v>001 (LJK )</v>
      </c>
    </row>
    <row r="144" spans="1:3" x14ac:dyDescent="0.3">
      <c r="A144" s="33" t="s">
        <v>202</v>
      </c>
      <c r="B144" s="34" t="s">
        <v>203</v>
      </c>
      <c r="C144" s="34" t="str">
        <f t="shared" ref="C144:C145" si="12">CONCATENATE(A144, " (",B144,")")</f>
        <v>002 (Konsumen )</v>
      </c>
    </row>
    <row r="145" spans="1:3" x14ac:dyDescent="0.3">
      <c r="A145" s="33" t="s">
        <v>204</v>
      </c>
      <c r="B145" s="34" t="s">
        <v>78</v>
      </c>
      <c r="C145" s="34" t="str">
        <f t="shared" si="12"/>
        <v>003 (Pihak Lain)</v>
      </c>
    </row>
    <row r="147" spans="1:3" ht="18" x14ac:dyDescent="0.3">
      <c r="A147" s="31" t="s">
        <v>67</v>
      </c>
    </row>
    <row r="148" spans="1:3" ht="15.6" x14ac:dyDescent="0.3">
      <c r="A148" s="32" t="s">
        <v>110</v>
      </c>
      <c r="B148" s="32" t="s">
        <v>111</v>
      </c>
      <c r="C148" s="32" t="s">
        <v>112</v>
      </c>
    </row>
    <row r="149" spans="1:3" x14ac:dyDescent="0.3">
      <c r="A149" s="33">
        <v>101</v>
      </c>
      <c r="B149" s="34" t="s">
        <v>205</v>
      </c>
      <c r="C149" s="34" t="str">
        <f>CONCATENATE(A149, " (",B149,")")</f>
        <v>101 (Sumber Daya Manusia – Integritas )</v>
      </c>
    </row>
    <row r="150" spans="1:3" x14ac:dyDescent="0.3">
      <c r="A150" s="33">
        <v>102</v>
      </c>
      <c r="B150" s="34" t="s">
        <v>206</v>
      </c>
      <c r="C150" s="34" t="str">
        <f t="shared" ref="C150:C151" si="13">CONCATENATE(A150, " (",B150,")")</f>
        <v>102 (Sumber Daya Manusia – Kompetensi )</v>
      </c>
    </row>
    <row r="151" spans="1:3" ht="28.8" x14ac:dyDescent="0.3">
      <c r="A151" s="33">
        <v>201</v>
      </c>
      <c r="B151" s="34" t="s">
        <v>207</v>
      </c>
      <c r="C151" s="34" t="str">
        <f t="shared" si="13"/>
        <v>201 (Sistem Pengendalian internal – Pengendalian internal Pimpinan )</v>
      </c>
    </row>
    <row r="152" spans="1:3" ht="28.8" x14ac:dyDescent="0.3">
      <c r="A152" s="33">
        <v>202</v>
      </c>
      <c r="B152" s="34" t="s">
        <v>208</v>
      </c>
      <c r="C152" s="34" t="str">
        <f>CONCATENATE(A152, " (",B152,")")</f>
        <v>202 (Sistem Pengendalian internal - Pada Kebijakan internal LJK )</v>
      </c>
    </row>
    <row r="153" spans="1:3" ht="28.8" x14ac:dyDescent="0.3">
      <c r="A153" s="33">
        <v>203</v>
      </c>
      <c r="B153" s="34" t="s">
        <v>209</v>
      </c>
      <c r="C153" s="34" t="str">
        <f t="shared" ref="C153:C164" si="14">CONCATENATE(A153, " (",B153,")")</f>
        <v>203 (Sistem Pengendalian internal - Ketidaksesuaian atas Tingkat dan Toleransi Risiko )</v>
      </c>
    </row>
    <row r="154" spans="1:3" ht="28.8" x14ac:dyDescent="0.3">
      <c r="A154" s="33">
        <v>204</v>
      </c>
      <c r="B154" s="34" t="s">
        <v>210</v>
      </c>
      <c r="C154" s="34" t="str">
        <f t="shared" si="14"/>
        <v>204 (Sistem Pengendalian internal - Pelanggaran Standar dan Prosedur LJK )</v>
      </c>
    </row>
    <row r="155" spans="1:3" ht="28.8" x14ac:dyDescent="0.3">
      <c r="A155" s="33">
        <v>205</v>
      </c>
      <c r="B155" s="34" t="s">
        <v>211</v>
      </c>
      <c r="C155" s="34" t="str">
        <f t="shared" si="14"/>
        <v>205 (Sistem Pengendalian internal - Tidak Berjalannya Pemisahan Fungsi (Four Eyes Principle) )</v>
      </c>
    </row>
    <row r="156" spans="1:3" ht="43.2" x14ac:dyDescent="0.3">
      <c r="A156" s="33">
        <v>206</v>
      </c>
      <c r="B156" s="34" t="s">
        <v>212</v>
      </c>
      <c r="C156" s="34" t="str">
        <f t="shared" si="14"/>
        <v>206 (Sistem Pengendalian internal - Pelaporan Keuangan dan Kegiatan Operasional yang Tidak Akurat dan Tidak Tepat Waktu )</v>
      </c>
    </row>
    <row r="157" spans="1:3" ht="28.8" x14ac:dyDescent="0.3">
      <c r="A157" s="33">
        <v>207</v>
      </c>
      <c r="B157" s="34" t="s">
        <v>213</v>
      </c>
      <c r="C157" s="34" t="str">
        <f t="shared" si="14"/>
        <v>207 (Sistem Pengendalian internal - Struktur Organisasi yang Belum Berjalan Efektif )</v>
      </c>
    </row>
    <row r="158" spans="1:3" x14ac:dyDescent="0.3">
      <c r="A158" s="33">
        <v>301</v>
      </c>
      <c r="B158" s="34" t="s">
        <v>214</v>
      </c>
      <c r="C158" s="34" t="str">
        <f t="shared" si="14"/>
        <v>301 (Teknologi Informasi )</v>
      </c>
    </row>
    <row r="159" spans="1:3" ht="28.8" x14ac:dyDescent="0.3">
      <c r="A159" s="33">
        <v>401</v>
      </c>
      <c r="B159" s="34" t="s">
        <v>215</v>
      </c>
      <c r="C159" s="34" t="str">
        <f t="shared" si="14"/>
        <v>401 (Penerapan Strategi Anti Fraud Belum Berjalan Efektif )</v>
      </c>
    </row>
    <row r="160" spans="1:3" x14ac:dyDescent="0.3">
      <c r="A160" s="33">
        <v>501</v>
      </c>
      <c r="B160" s="34" t="s">
        <v>216</v>
      </c>
      <c r="C160" s="34" t="str">
        <f t="shared" si="14"/>
        <v>501 (Eksternal – Kelalaian Konsumen)</v>
      </c>
    </row>
    <row r="161" spans="1:3" ht="28.8" x14ac:dyDescent="0.3">
      <c r="A161" s="33">
        <v>502</v>
      </c>
      <c r="B161" s="34" t="s">
        <v>217</v>
      </c>
      <c r="C161" s="34" t="str">
        <f t="shared" si="14"/>
        <v>502 (Eksternal – Pemahaman Konsumen menjaga Kerahasiaan Data Pribadi)</v>
      </c>
    </row>
    <row r="162" spans="1:3" x14ac:dyDescent="0.3">
      <c r="A162" s="33">
        <v>503</v>
      </c>
      <c r="B162" s="34" t="s">
        <v>218</v>
      </c>
      <c r="C162" s="34" t="str">
        <f t="shared" si="14"/>
        <v>503 (Eksternal – Kecurangan Konsumen )</v>
      </c>
    </row>
    <row r="163" spans="1:3" x14ac:dyDescent="0.3">
      <c r="A163" s="33">
        <v>504</v>
      </c>
      <c r="B163" s="34" t="s">
        <v>219</v>
      </c>
      <c r="C163" s="34" t="str">
        <f t="shared" si="14"/>
        <v>504 (Eksternal – Kecurangan Pihak Lain)</v>
      </c>
    </row>
    <row r="164" spans="1:3" x14ac:dyDescent="0.3">
      <c r="A164" s="33">
        <v>901</v>
      </c>
      <c r="B164" s="34" t="s">
        <v>220</v>
      </c>
      <c r="C164" s="34" t="str">
        <f t="shared" si="14"/>
        <v>901 (Kelemahan Lain )</v>
      </c>
    </row>
    <row r="166" spans="1:3" ht="18" x14ac:dyDescent="0.3">
      <c r="A166" s="31" t="s">
        <v>68</v>
      </c>
    </row>
    <row r="167" spans="1:3" ht="15.6" x14ac:dyDescent="0.3">
      <c r="A167" s="32" t="s">
        <v>110</v>
      </c>
      <c r="B167" s="32" t="s">
        <v>111</v>
      </c>
      <c r="C167" s="32" t="s">
        <v>112</v>
      </c>
    </row>
    <row r="168" spans="1:3" x14ac:dyDescent="0.3">
      <c r="A168" s="33" t="s">
        <v>175</v>
      </c>
      <c r="B168" s="34" t="s">
        <v>221</v>
      </c>
      <c r="C168" s="34" t="str">
        <f>CONCATENATE(A168, " (",B168,")")</f>
        <v>01 (Pemberian surat peringatan )</v>
      </c>
    </row>
    <row r="169" spans="1:3" x14ac:dyDescent="0.3">
      <c r="A169" s="33" t="s">
        <v>177</v>
      </c>
      <c r="B169" s="34" t="s">
        <v>222</v>
      </c>
      <c r="C169" s="34" t="str">
        <f t="shared" ref="C169:C170" si="15">CONCATENATE(A169, " (",B169,")")</f>
        <v>02 (Rotasi atau mutasi )</v>
      </c>
    </row>
    <row r="170" spans="1:3" x14ac:dyDescent="0.3">
      <c r="A170" s="33" t="s">
        <v>179</v>
      </c>
      <c r="B170" s="34" t="s">
        <v>223</v>
      </c>
      <c r="C170" s="34" t="str">
        <f t="shared" si="15"/>
        <v>03 (Penurunan jabatan )</v>
      </c>
    </row>
    <row r="171" spans="1:3" x14ac:dyDescent="0.3">
      <c r="A171" s="33" t="s">
        <v>181</v>
      </c>
      <c r="B171" s="34" t="s">
        <v>224</v>
      </c>
      <c r="C171" s="34" t="str">
        <f>CONCATENATE(A171, " (",B171,")")</f>
        <v>04 (Pengunduran diri sukarela)</v>
      </c>
    </row>
    <row r="172" spans="1:3" x14ac:dyDescent="0.3">
      <c r="A172" s="33" t="s">
        <v>183</v>
      </c>
      <c r="B172" s="34" t="s">
        <v>225</v>
      </c>
      <c r="C172" s="34" t="str">
        <f t="shared" ref="C172:C181" si="16">CONCATENATE(A172, " (",B172,")")</f>
        <v>05 (Pemutusan hubungan kerja )</v>
      </c>
    </row>
    <row r="173" spans="1:3" x14ac:dyDescent="0.3">
      <c r="A173" s="33" t="s">
        <v>185</v>
      </c>
      <c r="B173" s="34" t="s">
        <v>226</v>
      </c>
      <c r="C173" s="34" t="str">
        <f t="shared" si="16"/>
        <v>06 (Pemblokiran kartu debit/kartu kredit )</v>
      </c>
    </row>
    <row r="174" spans="1:3" x14ac:dyDescent="0.3">
      <c r="A174" s="33" t="s">
        <v>187</v>
      </c>
      <c r="B174" s="34" t="s">
        <v>227</v>
      </c>
      <c r="C174" s="34" t="str">
        <f t="shared" si="16"/>
        <v>07 (Pemblokiran rekening )</v>
      </c>
    </row>
    <row r="175" spans="1:3" x14ac:dyDescent="0.3">
      <c r="A175" s="33" t="s">
        <v>189</v>
      </c>
      <c r="B175" s="34" t="s">
        <v>228</v>
      </c>
      <c r="C175" s="34" t="str">
        <f t="shared" si="16"/>
        <v>08 (Penggantian kartu debit/kartu kredit )</v>
      </c>
    </row>
    <row r="176" spans="1:3" x14ac:dyDescent="0.3">
      <c r="A176" s="33" t="s">
        <v>191</v>
      </c>
      <c r="B176" s="34" t="s">
        <v>229</v>
      </c>
      <c r="C176" s="34" t="str">
        <f t="shared" si="16"/>
        <v>09 (Pelaporan kepolisian atau tindakan hukum )</v>
      </c>
    </row>
    <row r="177" spans="1:3" x14ac:dyDescent="0.3">
      <c r="A177" s="33">
        <v>10</v>
      </c>
      <c r="B177" s="34" t="s">
        <v>230</v>
      </c>
      <c r="C177" s="34" t="str">
        <f t="shared" si="16"/>
        <v>10 (Ganti rugi )</v>
      </c>
    </row>
    <row r="178" spans="1:3" x14ac:dyDescent="0.3">
      <c r="A178" s="33">
        <v>11</v>
      </c>
      <c r="B178" s="34" t="s">
        <v>231</v>
      </c>
      <c r="C178" s="34" t="str">
        <f t="shared" si="16"/>
        <v>11 (Pembatalan polis/kontrak)</v>
      </c>
    </row>
    <row r="179" spans="1:3" x14ac:dyDescent="0.3">
      <c r="A179" s="33">
        <v>12</v>
      </c>
      <c r="B179" s="34" t="s">
        <v>232</v>
      </c>
      <c r="C179" s="34" t="str">
        <f t="shared" si="16"/>
        <v>12 (Pencatatan dalam track record )</v>
      </c>
    </row>
    <row r="180" spans="1:3" x14ac:dyDescent="0.3">
      <c r="A180" s="33">
        <v>13</v>
      </c>
      <c r="B180" s="34" t="s">
        <v>233</v>
      </c>
      <c r="C180" s="34" t="str">
        <f t="shared" si="16"/>
        <v>13 (Pelaporan kepada asosiasi/regulator/instansi)</v>
      </c>
    </row>
    <row r="181" spans="1:3" x14ac:dyDescent="0.3">
      <c r="A181" s="33">
        <v>19</v>
      </c>
      <c r="B181" s="34" t="s">
        <v>234</v>
      </c>
      <c r="C181" s="34" t="str">
        <f t="shared" si="16"/>
        <v>19 (Tindakan lain )</v>
      </c>
    </row>
    <row r="183" spans="1:3" ht="18" x14ac:dyDescent="0.3">
      <c r="A183" s="31" t="s">
        <v>69</v>
      </c>
    </row>
    <row r="184" spans="1:3" ht="15.6" x14ac:dyDescent="0.3">
      <c r="A184" s="32" t="s">
        <v>110</v>
      </c>
      <c r="B184" s="32" t="s">
        <v>111</v>
      </c>
      <c r="C184" s="32" t="s">
        <v>112</v>
      </c>
    </row>
    <row r="185" spans="1:3" x14ac:dyDescent="0.3">
      <c r="A185" s="33">
        <v>100</v>
      </c>
      <c r="B185" s="34" t="s">
        <v>235</v>
      </c>
      <c r="C185" s="34" t="str">
        <f>CONCATENATE(A185, " (",B185,")")</f>
        <v>100 (Sumber daya manusia )</v>
      </c>
    </row>
    <row r="186" spans="1:3" x14ac:dyDescent="0.3">
      <c r="A186" s="33">
        <v>200</v>
      </c>
      <c r="B186" s="34" t="s">
        <v>236</v>
      </c>
      <c r="C186" s="34" t="str">
        <f t="shared" ref="C186:C187" si="17">CONCATENATE(A186, " (",B186,")")</f>
        <v>200 (Sistem pengendalian internal)</v>
      </c>
    </row>
    <row r="187" spans="1:3" x14ac:dyDescent="0.3">
      <c r="A187" s="33">
        <v>300</v>
      </c>
      <c r="B187" s="34" t="s">
        <v>237</v>
      </c>
      <c r="C187" s="34" t="str">
        <f t="shared" si="17"/>
        <v>300 (Teknologi informasi )</v>
      </c>
    </row>
    <row r="188" spans="1:3" x14ac:dyDescent="0.3">
      <c r="A188" s="33">
        <v>400</v>
      </c>
      <c r="B188" s="34" t="s">
        <v>238</v>
      </c>
      <c r="C188" s="34" t="str">
        <f>CONCATENATE(A188, " (",B188,")")</f>
        <v>400 (Penerapan Strategi Anti Fraud )</v>
      </c>
    </row>
    <row r="189" spans="1:3" x14ac:dyDescent="0.3">
      <c r="A189" s="33">
        <v>500</v>
      </c>
      <c r="B189" s="34" t="s">
        <v>239</v>
      </c>
      <c r="C189" s="34" t="str">
        <f t="shared" ref="C189:C190" si="18">CONCATENATE(A189, " (",B189,")")</f>
        <v>500 (Koordinasi dengan asosiasi/regulator/instansi)</v>
      </c>
    </row>
    <row r="190" spans="1:3" x14ac:dyDescent="0.3">
      <c r="A190" s="33">
        <v>900</v>
      </c>
      <c r="B190" s="34" t="s">
        <v>234</v>
      </c>
      <c r="C190" s="34" t="str">
        <f t="shared" si="18"/>
        <v>900 (Tindakan lain )</v>
      </c>
    </row>
    <row r="192" spans="1:3" ht="18" x14ac:dyDescent="0.3">
      <c r="A192" s="31" t="s">
        <v>70</v>
      </c>
    </row>
    <row r="193" spans="1:3" ht="15.6" x14ac:dyDescent="0.3">
      <c r="A193" s="32" t="s">
        <v>110</v>
      </c>
      <c r="B193" s="32" t="s">
        <v>111</v>
      </c>
      <c r="C193" s="32" t="s">
        <v>112</v>
      </c>
    </row>
    <row r="194" spans="1:3" x14ac:dyDescent="0.3">
      <c r="A194" s="33" t="s">
        <v>200</v>
      </c>
      <c r="B194" s="34" t="s">
        <v>240</v>
      </c>
      <c r="C194" s="34" t="str">
        <f>CONCATENATE(A194, " (",B194,")")</f>
        <v>001 (Internal)</v>
      </c>
    </row>
    <row r="195" spans="1:3" x14ac:dyDescent="0.3">
      <c r="A195" s="33" t="s">
        <v>202</v>
      </c>
      <c r="B195" s="34" t="s">
        <v>241</v>
      </c>
      <c r="C195" s="34" t="str">
        <f t="shared" ref="C195" si="19">CONCATENATE(A195, " (",B195,")")</f>
        <v>002 (Eksternal)</v>
      </c>
    </row>
    <row r="197" spans="1:3" ht="18" x14ac:dyDescent="0.3">
      <c r="A197" s="31" t="s">
        <v>93</v>
      </c>
    </row>
    <row r="198" spans="1:3" ht="15.6" x14ac:dyDescent="0.3">
      <c r="A198" s="32" t="s">
        <v>110</v>
      </c>
      <c r="B198" s="32" t="s">
        <v>111</v>
      </c>
      <c r="C198" s="32" t="s">
        <v>112</v>
      </c>
    </row>
    <row r="199" spans="1:3" x14ac:dyDescent="0.3">
      <c r="A199" s="33" t="s">
        <v>200</v>
      </c>
      <c r="B199" s="34" t="s">
        <v>242</v>
      </c>
      <c r="C199" s="34" t="str">
        <f>CONCATENATE(A199, " (",B199,")")</f>
        <v>001 (KTP (Nomor Induk Kependudukan))</v>
      </c>
    </row>
    <row r="200" spans="1:3" x14ac:dyDescent="0.3">
      <c r="A200" s="33" t="s">
        <v>202</v>
      </c>
      <c r="B200" s="34" t="s">
        <v>243</v>
      </c>
      <c r="C200" s="34" t="str">
        <f t="shared" ref="C200:C201" si="20">CONCATENATE(A200, " (",B200,")")</f>
        <v>002 (Paspor (Nomor Paspor) )</v>
      </c>
    </row>
    <row r="201" spans="1:3" x14ac:dyDescent="0.3">
      <c r="A201" s="33" t="s">
        <v>204</v>
      </c>
      <c r="B201" s="34" t="s">
        <v>244</v>
      </c>
      <c r="C201" s="34" t="str">
        <f t="shared" si="20"/>
        <v>003 (NPWP (Nomor Pokok Wajib Pajak))</v>
      </c>
    </row>
    <row r="202" spans="1:3" x14ac:dyDescent="0.3">
      <c r="A202" s="33" t="s">
        <v>245</v>
      </c>
      <c r="B202" s="34" t="s">
        <v>246</v>
      </c>
      <c r="C202" s="34" t="str">
        <f>CONCATENATE(A202, " (",B202,")")</f>
        <v>009 (Tidak Diketahui )</v>
      </c>
    </row>
    <row r="204" spans="1:3" ht="18" x14ac:dyDescent="0.3">
      <c r="A204" s="31" t="s">
        <v>247</v>
      </c>
    </row>
    <row r="205" spans="1:3" ht="15.6" x14ac:dyDescent="0.3">
      <c r="A205" s="32" t="s">
        <v>110</v>
      </c>
      <c r="B205" s="32" t="s">
        <v>111</v>
      </c>
      <c r="C205" s="32" t="s">
        <v>112</v>
      </c>
    </row>
    <row r="206" spans="1:3" x14ac:dyDescent="0.3">
      <c r="A206" s="33" t="s">
        <v>248</v>
      </c>
      <c r="B206" s="34" t="s">
        <v>249</v>
      </c>
      <c r="C206" s="34" t="str">
        <f>CONCATENATE(A206, " (",B206,")")</f>
        <v>L (Laki-Laki)</v>
      </c>
    </row>
    <row r="207" spans="1:3" x14ac:dyDescent="0.3">
      <c r="A207" s="33" t="s">
        <v>250</v>
      </c>
      <c r="B207" s="34" t="s">
        <v>251</v>
      </c>
      <c r="C207" s="34" t="str">
        <f t="shared" ref="C207" si="21">CONCATENATE(A207, " (",B207,")")</f>
        <v>P (Perempuan)</v>
      </c>
    </row>
    <row r="209" spans="1:3" ht="18" x14ac:dyDescent="0.3">
      <c r="A209" s="31" t="s">
        <v>83</v>
      </c>
    </row>
    <row r="210" spans="1:3" ht="15.6" x14ac:dyDescent="0.3">
      <c r="A210" s="32" t="s">
        <v>110</v>
      </c>
      <c r="B210" s="32" t="s">
        <v>111</v>
      </c>
      <c r="C210" s="32" t="s">
        <v>112</v>
      </c>
    </row>
    <row r="211" spans="1:3" x14ac:dyDescent="0.3">
      <c r="A211" s="44" t="s">
        <v>200</v>
      </c>
      <c r="B211" s="34" t="s">
        <v>252</v>
      </c>
      <c r="C211" s="34" t="str">
        <f>CONCATENATE(A211, " (",B211,")")</f>
        <v>001 (Pelaku Utama)</v>
      </c>
    </row>
    <row r="212" spans="1:3" x14ac:dyDescent="0.3">
      <c r="A212" s="44" t="s">
        <v>202</v>
      </c>
      <c r="B212" s="34" t="s">
        <v>253</v>
      </c>
      <c r="C212" s="34" t="str">
        <f>CONCATENATE(A212, " (",B212,")")</f>
        <v>002 (Pihak Terlibat)</v>
      </c>
    </row>
    <row r="214" spans="1:3" ht="18" x14ac:dyDescent="0.3">
      <c r="A214" s="31" t="s">
        <v>254</v>
      </c>
    </row>
    <row r="215" spans="1:3" ht="15.6" x14ac:dyDescent="0.3">
      <c r="A215" s="32" t="s">
        <v>110</v>
      </c>
      <c r="B215" s="32" t="s">
        <v>111</v>
      </c>
      <c r="C215" s="32" t="s">
        <v>112</v>
      </c>
    </row>
    <row r="216" spans="1:3" x14ac:dyDescent="0.3">
      <c r="A216" s="33" t="s">
        <v>200</v>
      </c>
      <c r="B216" s="34" t="s">
        <v>255</v>
      </c>
      <c r="C216" s="34" t="str">
        <f>CONCATENATE(A216, " (",B216,")")</f>
        <v>001 (Direktur Utama/Ketua Pengurus)</v>
      </c>
    </row>
    <row r="217" spans="1:3" x14ac:dyDescent="0.3">
      <c r="A217" s="33" t="s">
        <v>202</v>
      </c>
      <c r="B217" s="34" t="s">
        <v>256</v>
      </c>
      <c r="C217" s="34" t="str">
        <f t="shared" ref="C217:C218" si="22">CONCATENATE(A217, " (",B217,")")</f>
        <v>002 (Direktur / Pengurus)</v>
      </c>
    </row>
    <row r="218" spans="1:3" x14ac:dyDescent="0.3">
      <c r="A218" s="33" t="s">
        <v>204</v>
      </c>
      <c r="B218" s="34" t="s">
        <v>257</v>
      </c>
      <c r="C218" s="34" t="str">
        <f t="shared" si="22"/>
        <v>003 (Direktur Kepatuhan/Pengurus bidang Kepatuhan)</v>
      </c>
    </row>
    <row r="219" spans="1:3" x14ac:dyDescent="0.3">
      <c r="A219" s="33" t="s">
        <v>258</v>
      </c>
      <c r="B219" s="34" t="s">
        <v>259</v>
      </c>
      <c r="C219" s="34" t="str">
        <f>CONCATENATE(A219, " (",B219,")")</f>
        <v>004 (Komisaris Utama/Ketua Dewan Pengawas)</v>
      </c>
    </row>
    <row r="220" spans="1:3" x14ac:dyDescent="0.3">
      <c r="A220" s="33" t="s">
        <v>260</v>
      </c>
      <c r="B220" s="34" t="s">
        <v>261</v>
      </c>
      <c r="C220" s="34" t="str">
        <f t="shared" ref="C220:C228" si="23">CONCATENATE(A220, " (",B220,")")</f>
        <v>005 (Komisaris/Dewan Pengawas)</v>
      </c>
    </row>
    <row r="221" spans="1:3" x14ac:dyDescent="0.3">
      <c r="A221" s="33" t="s">
        <v>262</v>
      </c>
      <c r="B221" s="34" t="s">
        <v>263</v>
      </c>
      <c r="C221" s="34" t="str">
        <f t="shared" si="23"/>
        <v>006 (Dewan Pengawas Syariah )</v>
      </c>
    </row>
    <row r="222" spans="1:3" x14ac:dyDescent="0.3">
      <c r="A222" s="33" t="s">
        <v>264</v>
      </c>
      <c r="B222" s="34" t="s">
        <v>265</v>
      </c>
      <c r="C222" s="34" t="str">
        <f t="shared" si="23"/>
        <v>007 (Pejabat Eksekutif)</v>
      </c>
    </row>
    <row r="223" spans="1:3" x14ac:dyDescent="0.3">
      <c r="A223" s="33" t="s">
        <v>266</v>
      </c>
      <c r="B223" s="34" t="s">
        <v>267</v>
      </c>
      <c r="C223" s="34" t="str">
        <f t="shared" si="23"/>
        <v>008 (Pemegang Saham Pengendali)</v>
      </c>
    </row>
    <row r="224" spans="1:3" x14ac:dyDescent="0.3">
      <c r="A224" s="33" t="s">
        <v>245</v>
      </c>
      <c r="B224" s="34" t="s">
        <v>268</v>
      </c>
      <c r="C224" s="34" t="str">
        <f t="shared" si="23"/>
        <v>009 (Pemegang Saham)</v>
      </c>
    </row>
    <row r="225" spans="1:3" x14ac:dyDescent="0.3">
      <c r="A225" s="33" t="s">
        <v>269</v>
      </c>
      <c r="B225" s="34" t="s">
        <v>270</v>
      </c>
      <c r="C225" s="34" t="str">
        <f t="shared" si="23"/>
        <v>010 (Tenaga Ahli dan Konsultan)</v>
      </c>
    </row>
    <row r="226" spans="1:3" ht="28.8" x14ac:dyDescent="0.3">
      <c r="A226" s="33" t="s">
        <v>271</v>
      </c>
      <c r="B226" s="34" t="s">
        <v>272</v>
      </c>
      <c r="C226" s="34" t="str">
        <f t="shared" si="23"/>
        <v>011 (Komisaris Independen/Dewan Pengawas Independen)</v>
      </c>
    </row>
    <row r="227" spans="1:3" x14ac:dyDescent="0.3">
      <c r="A227" s="33" t="s">
        <v>273</v>
      </c>
      <c r="B227" s="34" t="s">
        <v>274</v>
      </c>
      <c r="C227" s="34" t="str">
        <f t="shared" si="23"/>
        <v>018 (Pejabat non Pejabat Eksekutif)</v>
      </c>
    </row>
    <row r="228" spans="1:3" x14ac:dyDescent="0.3">
      <c r="A228" s="33" t="s">
        <v>275</v>
      </c>
      <c r="B228" s="34" t="s">
        <v>276</v>
      </c>
      <c r="C228" s="34" t="str">
        <f t="shared" si="23"/>
        <v>019 (Pegawai non Pejabat)</v>
      </c>
    </row>
    <row r="230" spans="1:3" ht="18" x14ac:dyDescent="0.3">
      <c r="A230" s="31" t="s">
        <v>277</v>
      </c>
    </row>
    <row r="231" spans="1:3" ht="15.6" x14ac:dyDescent="0.3">
      <c r="A231" s="32" t="s">
        <v>110</v>
      </c>
      <c r="B231" s="32" t="s">
        <v>111</v>
      </c>
      <c r="C231" s="32" t="s">
        <v>112</v>
      </c>
    </row>
    <row r="232" spans="1:3" x14ac:dyDescent="0.3">
      <c r="A232" s="33" t="s">
        <v>200</v>
      </c>
      <c r="B232" s="34" t="s">
        <v>255</v>
      </c>
      <c r="C232" s="34" t="str">
        <f>CONCATENATE(A232, " (",B232,")")</f>
        <v>001 (Direktur Utama/Ketua Pengurus)</v>
      </c>
    </row>
    <row r="233" spans="1:3" x14ac:dyDescent="0.3">
      <c r="A233" s="33" t="s">
        <v>202</v>
      </c>
      <c r="B233" s="34" t="s">
        <v>278</v>
      </c>
      <c r="C233" s="34" t="str">
        <f t="shared" ref="C233:C234" si="24">CONCATENATE(A233, " (",B233,")")</f>
        <v>002 (Direktur/Pengurus)</v>
      </c>
    </row>
    <row r="234" spans="1:3" x14ac:dyDescent="0.3">
      <c r="A234" s="33" t="s">
        <v>204</v>
      </c>
      <c r="B234" s="34" t="s">
        <v>257</v>
      </c>
      <c r="C234" s="34" t="str">
        <f t="shared" si="24"/>
        <v>003 (Direktur Kepatuhan/Pengurus bidang Kepatuhan)</v>
      </c>
    </row>
    <row r="235" spans="1:3" x14ac:dyDescent="0.3">
      <c r="A235" s="33" t="s">
        <v>258</v>
      </c>
      <c r="B235" s="34" t="s">
        <v>259</v>
      </c>
      <c r="C235" s="34" t="str">
        <f>CONCATENATE(A235, " (",B235,")")</f>
        <v>004 (Komisaris Utama/Ketua Dewan Pengawas)</v>
      </c>
    </row>
    <row r="236" spans="1:3" x14ac:dyDescent="0.3">
      <c r="A236" s="33" t="s">
        <v>260</v>
      </c>
      <c r="B236" s="34" t="s">
        <v>261</v>
      </c>
      <c r="C236" s="34" t="str">
        <f t="shared" ref="C236:C249" si="25">CONCATENATE(A236, " (",B236,")")</f>
        <v>005 (Komisaris/Dewan Pengawas)</v>
      </c>
    </row>
    <row r="237" spans="1:3" x14ac:dyDescent="0.3">
      <c r="A237" s="33" t="s">
        <v>262</v>
      </c>
      <c r="B237" s="34" t="s">
        <v>263</v>
      </c>
      <c r="C237" s="34" t="str">
        <f t="shared" si="25"/>
        <v>006 (Dewan Pengawas Syariah )</v>
      </c>
    </row>
    <row r="238" spans="1:3" x14ac:dyDescent="0.3">
      <c r="A238" s="33" t="s">
        <v>264</v>
      </c>
      <c r="B238" s="34" t="s">
        <v>265</v>
      </c>
      <c r="C238" s="34" t="str">
        <f t="shared" si="25"/>
        <v>007 (Pejabat Eksekutif)</v>
      </c>
    </row>
    <row r="239" spans="1:3" x14ac:dyDescent="0.3">
      <c r="A239" s="33" t="s">
        <v>266</v>
      </c>
      <c r="B239" s="34" t="s">
        <v>267</v>
      </c>
      <c r="C239" s="34" t="str">
        <f t="shared" si="25"/>
        <v>008 (Pemegang Saham Pengendali)</v>
      </c>
    </row>
    <row r="240" spans="1:3" x14ac:dyDescent="0.3">
      <c r="A240" s="33" t="s">
        <v>245</v>
      </c>
      <c r="B240" s="34" t="s">
        <v>268</v>
      </c>
      <c r="C240" s="34" t="str">
        <f t="shared" si="25"/>
        <v>009 (Pemegang Saham)</v>
      </c>
    </row>
    <row r="241" spans="1:3" x14ac:dyDescent="0.3">
      <c r="A241" s="33" t="s">
        <v>269</v>
      </c>
      <c r="B241" s="34" t="s">
        <v>270</v>
      </c>
      <c r="C241" s="34" t="str">
        <f t="shared" si="25"/>
        <v>010 (Tenaga Ahli dan Konsultan)</v>
      </c>
    </row>
    <row r="242" spans="1:3" ht="28.8" x14ac:dyDescent="0.3">
      <c r="A242" s="33" t="s">
        <v>271</v>
      </c>
      <c r="B242" s="34" t="s">
        <v>272</v>
      </c>
      <c r="C242" s="34" t="str">
        <f t="shared" si="25"/>
        <v>011 (Komisaris Independen/Dewan Pengawas Independen)</v>
      </c>
    </row>
    <row r="243" spans="1:3" x14ac:dyDescent="0.3">
      <c r="A243" s="33" t="s">
        <v>273</v>
      </c>
      <c r="B243" s="34" t="s">
        <v>274</v>
      </c>
      <c r="C243" s="34" t="str">
        <f t="shared" si="25"/>
        <v>018 (Pejabat non Pejabat Eksekutif)</v>
      </c>
    </row>
    <row r="244" spans="1:3" x14ac:dyDescent="0.3">
      <c r="A244" s="33" t="s">
        <v>275</v>
      </c>
      <c r="B244" s="34" t="s">
        <v>276</v>
      </c>
      <c r="C244" s="34" t="str">
        <f t="shared" si="25"/>
        <v>019 (Pegawai non Pejabat)</v>
      </c>
    </row>
    <row r="245" spans="1:3" x14ac:dyDescent="0.3">
      <c r="A245" s="33" t="s">
        <v>279</v>
      </c>
      <c r="B245" s="34" t="s">
        <v>280</v>
      </c>
      <c r="C245" s="34" t="str">
        <f t="shared" si="25"/>
        <v>041 (Pensiun Karir)</v>
      </c>
    </row>
    <row r="246" spans="1:3" x14ac:dyDescent="0.3">
      <c r="A246" s="33" t="s">
        <v>281</v>
      </c>
      <c r="B246" s="34" t="s">
        <v>282</v>
      </c>
      <c r="C246" s="34" t="str">
        <f t="shared" si="25"/>
        <v>042 (Pensiun Dini/Disabilitas)</v>
      </c>
    </row>
    <row r="247" spans="1:3" x14ac:dyDescent="0.3">
      <c r="A247" s="33" t="s">
        <v>283</v>
      </c>
      <c r="B247" s="34" t="s">
        <v>284</v>
      </c>
      <c r="C247" s="34" t="str">
        <f t="shared" si="25"/>
        <v>043 (Diberhentikan atas keinginan sendiri)</v>
      </c>
    </row>
    <row r="248" spans="1:3" x14ac:dyDescent="0.3">
      <c r="A248" s="33" t="s">
        <v>285</v>
      </c>
      <c r="B248" s="34" t="s">
        <v>286</v>
      </c>
      <c r="C248" s="34" t="str">
        <f t="shared" si="25"/>
        <v>044 (Berakhir masa kontrak/penugasan)</v>
      </c>
    </row>
    <row r="249" spans="1:3" x14ac:dyDescent="0.3">
      <c r="A249" s="33" t="s">
        <v>287</v>
      </c>
      <c r="B249" s="34" t="s">
        <v>288</v>
      </c>
      <c r="C249" s="34" t="str">
        <f t="shared" si="25"/>
        <v>045 (Meninggal dunia)</v>
      </c>
    </row>
    <row r="251" spans="1:3" ht="18" x14ac:dyDescent="0.3">
      <c r="A251" s="31" t="s">
        <v>85</v>
      </c>
    </row>
    <row r="252" spans="1:3" ht="15.6" x14ac:dyDescent="0.3">
      <c r="A252" s="32" t="s">
        <v>110</v>
      </c>
      <c r="B252" s="32" t="s">
        <v>111</v>
      </c>
      <c r="C252" s="32" t="s">
        <v>112</v>
      </c>
    </row>
    <row r="253" spans="1:3" x14ac:dyDescent="0.3">
      <c r="A253" s="33" t="s">
        <v>200</v>
      </c>
      <c r="B253" s="34" t="s">
        <v>203</v>
      </c>
      <c r="C253" s="34" t="str">
        <f>CONCATENATE(A253, " (",B253,")")</f>
        <v>001 (Konsumen )</v>
      </c>
    </row>
    <row r="254" spans="1:3" ht="43.2" x14ac:dyDescent="0.3">
      <c r="A254" s="33" t="s">
        <v>202</v>
      </c>
      <c r="B254" s="34" t="s">
        <v>289</v>
      </c>
      <c r="C254" s="34" t="str">
        <f t="shared" ref="C254:C255" si="26">CONCATENATE(A254, " (",B254,")")</f>
        <v>002 (Pihak yang bekerjasama dengan LJK (antara lain vendor, investor, supplier, pejabat negara, atau rekanan) )</v>
      </c>
    </row>
    <row r="255" spans="1:3" ht="28.8" x14ac:dyDescent="0.3">
      <c r="A255" s="33" t="s">
        <v>204</v>
      </c>
      <c r="B255" s="34" t="s">
        <v>290</v>
      </c>
      <c r="C255" s="34" t="str">
        <f t="shared" si="26"/>
        <v>003 (Pihak yang tidak berhubungan langsung dengan LJK )</v>
      </c>
    </row>
    <row r="257" spans="1:3" ht="18" x14ac:dyDescent="0.3">
      <c r="A257" s="31" t="s">
        <v>71</v>
      </c>
    </row>
    <row r="258" spans="1:3" ht="15.6" x14ac:dyDescent="0.3">
      <c r="A258" s="32" t="s">
        <v>110</v>
      </c>
      <c r="B258" s="32" t="s">
        <v>111</v>
      </c>
      <c r="C258" s="32" t="s">
        <v>112</v>
      </c>
    </row>
    <row r="259" spans="1:3" x14ac:dyDescent="0.3">
      <c r="A259" s="33" t="s">
        <v>200</v>
      </c>
      <c r="B259" s="34" t="s">
        <v>291</v>
      </c>
      <c r="C259" s="34" t="str">
        <f>CONCATENATE(A259, " (",B259,")")</f>
        <v>001 (Proses internal LJK)</v>
      </c>
    </row>
    <row r="260" spans="1:3" x14ac:dyDescent="0.3">
      <c r="A260" s="33" t="s">
        <v>202</v>
      </c>
      <c r="B260" s="34" t="s">
        <v>292</v>
      </c>
      <c r="C260" s="34" t="str">
        <f t="shared" ref="C260:C261" si="27">CONCATENATE(A260, " (",B260,")")</f>
        <v>002 (Selesai diproses internal LJK)</v>
      </c>
    </row>
    <row r="261" spans="1:3" ht="28.8" x14ac:dyDescent="0.3">
      <c r="A261" s="33" t="s">
        <v>204</v>
      </c>
      <c r="B261" s="34" t="s">
        <v>293</v>
      </c>
      <c r="C261" s="34" t="str">
        <f t="shared" si="27"/>
        <v>003 (Dalam proses penanganan aparat penegak hukum)</v>
      </c>
    </row>
    <row r="262" spans="1:3" x14ac:dyDescent="0.3">
      <c r="A262" s="33" t="s">
        <v>258</v>
      </c>
      <c r="B262" s="34" t="s">
        <v>294</v>
      </c>
      <c r="C262" s="34" t="str">
        <f>CONCATENATE(A262, " (",B262,")")</f>
        <v>004 (Berkekuatan hukum tetap (Inkracht))</v>
      </c>
    </row>
    <row r="264" spans="1:3" s="46" customFormat="1" ht="18" x14ac:dyDescent="0.35">
      <c r="A264" s="45" t="s">
        <v>295</v>
      </c>
    </row>
    <row r="265" spans="1:3" s="46" customFormat="1" ht="15.6" x14ac:dyDescent="0.3">
      <c r="A265" s="47" t="s">
        <v>297</v>
      </c>
      <c r="B265" s="47" t="s">
        <v>296</v>
      </c>
      <c r="C265" s="32" t="s">
        <v>112</v>
      </c>
    </row>
    <row r="266" spans="1:3" s="46" customFormat="1" outlineLevel="1" x14ac:dyDescent="0.3">
      <c r="A266" s="49"/>
      <c r="B266" s="48" t="s">
        <v>298</v>
      </c>
      <c r="C266" s="34" t="str">
        <f>IF(A266&lt;&gt;"",CONCATENATE(A266, " (",B266,")"),"")</f>
        <v/>
      </c>
    </row>
    <row r="267" spans="1:3" s="46" customFormat="1" outlineLevel="1" x14ac:dyDescent="0.3">
      <c r="A267" s="50" t="s">
        <v>300</v>
      </c>
      <c r="B267" s="48" t="s">
        <v>299</v>
      </c>
      <c r="C267" s="34" t="str">
        <f t="shared" ref="C267:C330" si="28">IF(A267&lt;&gt;"",CONCATENATE(A267, " (",B267,")"),"")</f>
        <v>0102 (Kab. Bekasi)</v>
      </c>
    </row>
    <row r="268" spans="1:3" s="46" customFormat="1" outlineLevel="1" x14ac:dyDescent="0.3">
      <c r="A268" s="50" t="s">
        <v>302</v>
      </c>
      <c r="B268" s="48" t="s">
        <v>301</v>
      </c>
      <c r="C268" s="34" t="str">
        <f t="shared" si="28"/>
        <v>0103 (Kab. Purwakarta)</v>
      </c>
    </row>
    <row r="269" spans="1:3" s="46" customFormat="1" outlineLevel="1" x14ac:dyDescent="0.3">
      <c r="A269" s="50" t="s">
        <v>304</v>
      </c>
      <c r="B269" s="48" t="s">
        <v>303</v>
      </c>
      <c r="C269" s="34" t="str">
        <f t="shared" si="28"/>
        <v>0106 (Kab. Karawang)</v>
      </c>
    </row>
    <row r="270" spans="1:3" s="46" customFormat="1" outlineLevel="1" x14ac:dyDescent="0.3">
      <c r="A270" s="50" t="s">
        <v>306</v>
      </c>
      <c r="B270" s="48" t="s">
        <v>305</v>
      </c>
      <c r="C270" s="34" t="str">
        <f t="shared" si="28"/>
        <v>0108 (Kab. Bogor)</v>
      </c>
    </row>
    <row r="271" spans="1:3" s="46" customFormat="1" outlineLevel="1" x14ac:dyDescent="0.3">
      <c r="A271" s="50" t="s">
        <v>308</v>
      </c>
      <c r="B271" s="48" t="s">
        <v>307</v>
      </c>
      <c r="C271" s="34" t="str">
        <f t="shared" si="28"/>
        <v>0109 (Kab. Sukabumi)</v>
      </c>
    </row>
    <row r="272" spans="1:3" s="46" customFormat="1" outlineLevel="1" x14ac:dyDescent="0.3">
      <c r="A272" s="50" t="s">
        <v>310</v>
      </c>
      <c r="B272" s="48" t="s">
        <v>309</v>
      </c>
      <c r="C272" s="34" t="str">
        <f t="shared" si="28"/>
        <v>0110 (Kab. Cianjur)</v>
      </c>
    </row>
    <row r="273" spans="1:3" s="46" customFormat="1" outlineLevel="1" x14ac:dyDescent="0.3">
      <c r="A273" s="50" t="s">
        <v>312</v>
      </c>
      <c r="B273" s="48" t="s">
        <v>311</v>
      </c>
      <c r="C273" s="34" t="str">
        <f t="shared" si="28"/>
        <v>0111 (Kab. Bandung)</v>
      </c>
    </row>
    <row r="274" spans="1:3" s="46" customFormat="1" outlineLevel="1" x14ac:dyDescent="0.3">
      <c r="A274" s="50" t="s">
        <v>314</v>
      </c>
      <c r="B274" s="48" t="s">
        <v>313</v>
      </c>
      <c r="C274" s="34" t="str">
        <f t="shared" si="28"/>
        <v>0112 (Kab. Sumedang)</v>
      </c>
    </row>
    <row r="275" spans="1:3" s="46" customFormat="1" outlineLevel="1" x14ac:dyDescent="0.3">
      <c r="A275" s="50" t="s">
        <v>316</v>
      </c>
      <c r="B275" s="48" t="s">
        <v>315</v>
      </c>
      <c r="C275" s="34" t="str">
        <f t="shared" si="28"/>
        <v>0113 (Kab. Tasikmalaya)</v>
      </c>
    </row>
    <row r="276" spans="1:3" s="46" customFormat="1" outlineLevel="1" x14ac:dyDescent="0.3">
      <c r="A276" s="50" t="s">
        <v>318</v>
      </c>
      <c r="B276" s="48" t="s">
        <v>317</v>
      </c>
      <c r="C276" s="34" t="str">
        <f t="shared" si="28"/>
        <v>0114 (Kab. Garut)</v>
      </c>
    </row>
    <row r="277" spans="1:3" s="46" customFormat="1" outlineLevel="1" x14ac:dyDescent="0.3">
      <c r="A277" s="50" t="s">
        <v>320</v>
      </c>
      <c r="B277" s="48" t="s">
        <v>319</v>
      </c>
      <c r="C277" s="34" t="str">
        <f t="shared" si="28"/>
        <v>0115 (Kab. Ciamis)</v>
      </c>
    </row>
    <row r="278" spans="1:3" s="46" customFormat="1" outlineLevel="1" x14ac:dyDescent="0.3">
      <c r="A278" s="50" t="s">
        <v>322</v>
      </c>
      <c r="B278" s="48" t="s">
        <v>321</v>
      </c>
      <c r="C278" s="34" t="str">
        <f t="shared" si="28"/>
        <v>0116 (Kab. Cirebon)</v>
      </c>
    </row>
    <row r="279" spans="1:3" s="46" customFormat="1" outlineLevel="1" x14ac:dyDescent="0.3">
      <c r="A279" s="50" t="s">
        <v>324</v>
      </c>
      <c r="B279" s="48" t="s">
        <v>323</v>
      </c>
      <c r="C279" s="34" t="str">
        <f t="shared" si="28"/>
        <v>0117 (Kab. Kuningan)</v>
      </c>
    </row>
    <row r="280" spans="1:3" s="46" customFormat="1" outlineLevel="1" x14ac:dyDescent="0.3">
      <c r="A280" s="50" t="s">
        <v>326</v>
      </c>
      <c r="B280" s="48" t="s">
        <v>325</v>
      </c>
      <c r="C280" s="34" t="str">
        <f t="shared" si="28"/>
        <v>0118 (Kab. Indramayu)</v>
      </c>
    </row>
    <row r="281" spans="1:3" s="46" customFormat="1" outlineLevel="1" x14ac:dyDescent="0.3">
      <c r="A281" s="50" t="s">
        <v>328</v>
      </c>
      <c r="B281" s="48" t="s">
        <v>327</v>
      </c>
      <c r="C281" s="34" t="str">
        <f t="shared" si="28"/>
        <v>0119 (Kab. Majalengka)</v>
      </c>
    </row>
    <row r="282" spans="1:3" s="46" customFormat="1" outlineLevel="1" x14ac:dyDescent="0.3">
      <c r="A282" s="50" t="s">
        <v>330</v>
      </c>
      <c r="B282" s="48" t="s">
        <v>329</v>
      </c>
      <c r="C282" s="34" t="str">
        <f t="shared" si="28"/>
        <v>0121 (Kab. Subang)</v>
      </c>
    </row>
    <row r="283" spans="1:3" s="46" customFormat="1" outlineLevel="1" x14ac:dyDescent="0.3">
      <c r="A283" s="50" t="s">
        <v>332</v>
      </c>
      <c r="B283" s="48" t="s">
        <v>331</v>
      </c>
      <c r="C283" s="34" t="str">
        <f t="shared" si="28"/>
        <v>0122 (Kab. Bandung Barat)</v>
      </c>
    </row>
    <row r="284" spans="1:3" s="46" customFormat="1" outlineLevel="1" x14ac:dyDescent="0.3">
      <c r="A284" s="50" t="s">
        <v>334</v>
      </c>
      <c r="B284" s="48" t="s">
        <v>333</v>
      </c>
      <c r="C284" s="34" t="str">
        <f t="shared" si="28"/>
        <v>0123 (Kab. Pangandaran)</v>
      </c>
    </row>
    <row r="285" spans="1:3" s="46" customFormat="1" outlineLevel="1" x14ac:dyDescent="0.3">
      <c r="A285" s="50" t="s">
        <v>336</v>
      </c>
      <c r="B285" s="48" t="s">
        <v>335</v>
      </c>
      <c r="C285" s="34" t="str">
        <f t="shared" si="28"/>
        <v>0180 (Kota Banjar)</v>
      </c>
    </row>
    <row r="286" spans="1:3" s="46" customFormat="1" outlineLevel="1" x14ac:dyDescent="0.3">
      <c r="A286" s="50" t="s">
        <v>108</v>
      </c>
      <c r="B286" s="48" t="s">
        <v>337</v>
      </c>
      <c r="C286" s="34" t="str">
        <f t="shared" si="28"/>
        <v>0191 (Kota Bandung)</v>
      </c>
    </row>
    <row r="287" spans="1:3" s="46" customFormat="1" outlineLevel="1" x14ac:dyDescent="0.3">
      <c r="A287" s="50" t="s">
        <v>339</v>
      </c>
      <c r="B287" s="48" t="s">
        <v>338</v>
      </c>
      <c r="C287" s="34" t="str">
        <f t="shared" si="28"/>
        <v>0192 (Kota Bogor)</v>
      </c>
    </row>
    <row r="288" spans="1:3" s="46" customFormat="1" outlineLevel="1" x14ac:dyDescent="0.3">
      <c r="A288" s="50" t="s">
        <v>341</v>
      </c>
      <c r="B288" s="48" t="s">
        <v>340</v>
      </c>
      <c r="C288" s="34" t="str">
        <f t="shared" si="28"/>
        <v>0193 (Kota Sukabumi)</v>
      </c>
    </row>
    <row r="289" spans="1:3" s="46" customFormat="1" outlineLevel="1" x14ac:dyDescent="0.3">
      <c r="A289" s="50" t="s">
        <v>343</v>
      </c>
      <c r="B289" s="48" t="s">
        <v>342</v>
      </c>
      <c r="C289" s="34" t="str">
        <f t="shared" si="28"/>
        <v>0194 (Kota Cirebon)</v>
      </c>
    </row>
    <row r="290" spans="1:3" s="46" customFormat="1" outlineLevel="1" x14ac:dyDescent="0.3">
      <c r="A290" s="50" t="s">
        <v>345</v>
      </c>
      <c r="B290" s="48" t="s">
        <v>344</v>
      </c>
      <c r="C290" s="34" t="str">
        <f t="shared" si="28"/>
        <v>0195 (Kota Tasikmalaya)</v>
      </c>
    </row>
    <row r="291" spans="1:3" s="46" customFormat="1" outlineLevel="1" x14ac:dyDescent="0.3">
      <c r="A291" s="50" t="s">
        <v>347</v>
      </c>
      <c r="B291" s="48" t="s">
        <v>346</v>
      </c>
      <c r="C291" s="34" t="str">
        <f t="shared" si="28"/>
        <v>0196 (Kota Cimahi)</v>
      </c>
    </row>
    <row r="292" spans="1:3" s="46" customFormat="1" outlineLevel="1" x14ac:dyDescent="0.3">
      <c r="A292" s="50" t="s">
        <v>349</v>
      </c>
      <c r="B292" s="48" t="s">
        <v>348</v>
      </c>
      <c r="C292" s="34" t="str">
        <f t="shared" si="28"/>
        <v>0197 (Kota Depok)</v>
      </c>
    </row>
    <row r="293" spans="1:3" s="46" customFormat="1" outlineLevel="1" x14ac:dyDescent="0.3">
      <c r="A293" s="50" t="s">
        <v>351</v>
      </c>
      <c r="B293" s="48" t="s">
        <v>350</v>
      </c>
      <c r="C293" s="34" t="str">
        <f t="shared" si="28"/>
        <v>0198 (Kota Bekasi)</v>
      </c>
    </row>
    <row r="294" spans="1:3" s="46" customFormat="1" outlineLevel="1" x14ac:dyDescent="0.3">
      <c r="A294" s="49"/>
      <c r="B294" s="48" t="s">
        <v>352</v>
      </c>
      <c r="C294" s="34" t="str">
        <f t="shared" si="28"/>
        <v/>
      </c>
    </row>
    <row r="295" spans="1:3" s="46" customFormat="1" outlineLevel="1" x14ac:dyDescent="0.3">
      <c r="A295" s="50" t="s">
        <v>354</v>
      </c>
      <c r="B295" s="48" t="s">
        <v>353</v>
      </c>
      <c r="C295" s="34" t="str">
        <f t="shared" si="28"/>
        <v>0201 (Kab. Lebak)</v>
      </c>
    </row>
    <row r="296" spans="1:3" s="46" customFormat="1" outlineLevel="1" x14ac:dyDescent="0.3">
      <c r="A296" s="50" t="s">
        <v>356</v>
      </c>
      <c r="B296" s="48" t="s">
        <v>355</v>
      </c>
      <c r="C296" s="34" t="str">
        <f t="shared" si="28"/>
        <v>0202 (Kab. Pandeglang)</v>
      </c>
    </row>
    <row r="297" spans="1:3" s="46" customFormat="1" outlineLevel="1" x14ac:dyDescent="0.3">
      <c r="A297" s="50" t="s">
        <v>358</v>
      </c>
      <c r="B297" s="48" t="s">
        <v>357</v>
      </c>
      <c r="C297" s="34" t="str">
        <f t="shared" si="28"/>
        <v>0203 (Kab. Serang)</v>
      </c>
    </row>
    <row r="298" spans="1:3" s="46" customFormat="1" outlineLevel="1" x14ac:dyDescent="0.3">
      <c r="A298" s="50" t="s">
        <v>360</v>
      </c>
      <c r="B298" s="48" t="s">
        <v>359</v>
      </c>
      <c r="C298" s="34" t="str">
        <f t="shared" si="28"/>
        <v>0204 (Kab. Tangerang)</v>
      </c>
    </row>
    <row r="299" spans="1:3" s="46" customFormat="1" outlineLevel="1" x14ac:dyDescent="0.3">
      <c r="A299" s="50" t="s">
        <v>362</v>
      </c>
      <c r="B299" s="48" t="s">
        <v>361</v>
      </c>
      <c r="C299" s="34" t="str">
        <f t="shared" si="28"/>
        <v>0291 (Kota Cilegon)</v>
      </c>
    </row>
    <row r="300" spans="1:3" s="46" customFormat="1" outlineLevel="1" x14ac:dyDescent="0.3">
      <c r="A300" s="50" t="s">
        <v>364</v>
      </c>
      <c r="B300" s="48" t="s">
        <v>363</v>
      </c>
      <c r="C300" s="34" t="str">
        <f t="shared" si="28"/>
        <v>0292 (Kota Tangerang)</v>
      </c>
    </row>
    <row r="301" spans="1:3" s="46" customFormat="1" outlineLevel="1" x14ac:dyDescent="0.3">
      <c r="A301" s="50" t="s">
        <v>366</v>
      </c>
      <c r="B301" s="48" t="s">
        <v>365</v>
      </c>
      <c r="C301" s="34" t="str">
        <f t="shared" si="28"/>
        <v>0293 (Kota Serang)</v>
      </c>
    </row>
    <row r="302" spans="1:3" s="46" customFormat="1" outlineLevel="1" x14ac:dyDescent="0.3">
      <c r="A302" s="50" t="s">
        <v>368</v>
      </c>
      <c r="B302" s="48" t="s">
        <v>367</v>
      </c>
      <c r="C302" s="34" t="str">
        <f t="shared" si="28"/>
        <v>0294 (Kota Tangerang Selatan)</v>
      </c>
    </row>
    <row r="303" spans="1:3" s="46" customFormat="1" outlineLevel="1" x14ac:dyDescent="0.3">
      <c r="A303" s="51"/>
      <c r="B303" s="48" t="s">
        <v>369</v>
      </c>
      <c r="C303" s="34" t="str">
        <f t="shared" si="28"/>
        <v/>
      </c>
    </row>
    <row r="304" spans="1:3" s="46" customFormat="1" outlineLevel="1" x14ac:dyDescent="0.3">
      <c r="A304" s="50" t="s">
        <v>102</v>
      </c>
      <c r="B304" s="48" t="s">
        <v>370</v>
      </c>
      <c r="C304" s="34" t="str">
        <f t="shared" si="28"/>
        <v>0391 (Wil. Kota Jakarta Pusat)</v>
      </c>
    </row>
    <row r="305" spans="1:3" s="46" customFormat="1" outlineLevel="1" x14ac:dyDescent="0.3">
      <c r="A305" s="50" t="s">
        <v>372</v>
      </c>
      <c r="B305" s="48" t="s">
        <v>371</v>
      </c>
      <c r="C305" s="34" t="str">
        <f t="shared" si="28"/>
        <v>0392 (Wil. Kota Jakarta Utara)</v>
      </c>
    </row>
    <row r="306" spans="1:3" s="46" customFormat="1" outlineLevel="1" x14ac:dyDescent="0.3">
      <c r="A306" s="50" t="s">
        <v>374</v>
      </c>
      <c r="B306" s="48" t="s">
        <v>373</v>
      </c>
      <c r="C306" s="34" t="str">
        <f t="shared" si="28"/>
        <v>0393 (Wil. Kota Jakarta Barat)</v>
      </c>
    </row>
    <row r="307" spans="1:3" s="46" customFormat="1" outlineLevel="1" x14ac:dyDescent="0.3">
      <c r="A307" s="50" t="s">
        <v>376</v>
      </c>
      <c r="B307" s="48" t="s">
        <v>375</v>
      </c>
      <c r="C307" s="34" t="str">
        <f t="shared" si="28"/>
        <v>0394 (Wil. Kota Jakarta Selatan)</v>
      </c>
    </row>
    <row r="308" spans="1:3" s="46" customFormat="1" outlineLevel="1" x14ac:dyDescent="0.3">
      <c r="A308" s="50" t="s">
        <v>378</v>
      </c>
      <c r="B308" s="48" t="s">
        <v>377</v>
      </c>
      <c r="C308" s="34" t="str">
        <f t="shared" si="28"/>
        <v>0395 (Wil. Kota Jakarta Timur)</v>
      </c>
    </row>
    <row r="309" spans="1:3" s="46" customFormat="1" outlineLevel="1" x14ac:dyDescent="0.3">
      <c r="A309" s="50" t="s">
        <v>380</v>
      </c>
      <c r="B309" s="48" t="s">
        <v>379</v>
      </c>
      <c r="C309" s="34" t="str">
        <f t="shared" si="28"/>
        <v>0396 (Wil. Kepulauan Seribu)</v>
      </c>
    </row>
    <row r="310" spans="1:3" s="46" customFormat="1" outlineLevel="1" x14ac:dyDescent="0.3">
      <c r="A310" s="51"/>
      <c r="B310" s="48" t="s">
        <v>381</v>
      </c>
      <c r="C310" s="34" t="str">
        <f t="shared" si="28"/>
        <v/>
      </c>
    </row>
    <row r="311" spans="1:3" s="46" customFormat="1" outlineLevel="1" x14ac:dyDescent="0.3">
      <c r="A311" s="50" t="s">
        <v>383</v>
      </c>
      <c r="B311" s="48" t="s">
        <v>382</v>
      </c>
      <c r="C311" s="34" t="str">
        <f t="shared" si="28"/>
        <v>0501 (Kab. Bantul)</v>
      </c>
    </row>
    <row r="312" spans="1:3" s="46" customFormat="1" outlineLevel="1" x14ac:dyDescent="0.3">
      <c r="A312" s="50" t="s">
        <v>385</v>
      </c>
      <c r="B312" s="48" t="s">
        <v>384</v>
      </c>
      <c r="C312" s="34" t="str">
        <f t="shared" si="28"/>
        <v>0502 (Kab. Sleman)</v>
      </c>
    </row>
    <row r="313" spans="1:3" s="46" customFormat="1" outlineLevel="1" x14ac:dyDescent="0.3">
      <c r="A313" s="50" t="s">
        <v>387</v>
      </c>
      <c r="B313" s="48" t="s">
        <v>386</v>
      </c>
      <c r="C313" s="34" t="str">
        <f t="shared" si="28"/>
        <v>0503 (Kab. Gunung Kidul)</v>
      </c>
    </row>
    <row r="314" spans="1:3" s="46" customFormat="1" outlineLevel="1" x14ac:dyDescent="0.3">
      <c r="A314" s="50" t="s">
        <v>389</v>
      </c>
      <c r="B314" s="48" t="s">
        <v>388</v>
      </c>
      <c r="C314" s="34" t="str">
        <f t="shared" si="28"/>
        <v>0504 (Kab. Kulon Progo)</v>
      </c>
    </row>
    <row r="315" spans="1:3" s="46" customFormat="1" outlineLevel="1" x14ac:dyDescent="0.3">
      <c r="A315" s="50" t="s">
        <v>391</v>
      </c>
      <c r="B315" s="48" t="s">
        <v>390</v>
      </c>
      <c r="C315" s="34" t="str">
        <f t="shared" si="28"/>
        <v>0591 (Kota Yogyakarta)</v>
      </c>
    </row>
    <row r="316" spans="1:3" s="46" customFormat="1" outlineLevel="1" x14ac:dyDescent="0.3">
      <c r="A316" s="51"/>
      <c r="B316" s="48" t="s">
        <v>392</v>
      </c>
      <c r="C316" s="34" t="str">
        <f t="shared" si="28"/>
        <v/>
      </c>
    </row>
    <row r="317" spans="1:3" s="46" customFormat="1" outlineLevel="1" x14ac:dyDescent="0.3">
      <c r="A317" s="50" t="s">
        <v>394</v>
      </c>
      <c r="B317" s="48" t="s">
        <v>393</v>
      </c>
      <c r="C317" s="34" t="str">
        <f t="shared" si="28"/>
        <v>0901 (Kab. Semarang)</v>
      </c>
    </row>
    <row r="318" spans="1:3" s="46" customFormat="1" outlineLevel="1" x14ac:dyDescent="0.3">
      <c r="A318" s="50" t="s">
        <v>396</v>
      </c>
      <c r="B318" s="48" t="s">
        <v>395</v>
      </c>
      <c r="C318" s="34" t="str">
        <f t="shared" si="28"/>
        <v>0902 (Kab. Kendal)</v>
      </c>
    </row>
    <row r="319" spans="1:3" s="46" customFormat="1" outlineLevel="1" x14ac:dyDescent="0.3">
      <c r="A319" s="50" t="s">
        <v>398</v>
      </c>
      <c r="B319" s="48" t="s">
        <v>397</v>
      </c>
      <c r="C319" s="34" t="str">
        <f t="shared" si="28"/>
        <v>0903 (Kab. Demak)</v>
      </c>
    </row>
    <row r="320" spans="1:3" s="46" customFormat="1" outlineLevel="1" x14ac:dyDescent="0.3">
      <c r="A320" s="50" t="s">
        <v>400</v>
      </c>
      <c r="B320" s="48" t="s">
        <v>399</v>
      </c>
      <c r="C320" s="34" t="str">
        <f t="shared" si="28"/>
        <v>0904 (Kab. Grobogan)</v>
      </c>
    </row>
    <row r="321" spans="1:3" s="46" customFormat="1" outlineLevel="1" x14ac:dyDescent="0.3">
      <c r="A321" s="50" t="s">
        <v>402</v>
      </c>
      <c r="B321" s="48" t="s">
        <v>401</v>
      </c>
      <c r="C321" s="34" t="str">
        <f t="shared" si="28"/>
        <v>0905 (Kab. Pekalongan)</v>
      </c>
    </row>
    <row r="322" spans="1:3" s="46" customFormat="1" outlineLevel="1" x14ac:dyDescent="0.3">
      <c r="A322" s="50" t="s">
        <v>404</v>
      </c>
      <c r="B322" s="48" t="s">
        <v>403</v>
      </c>
      <c r="C322" s="34" t="str">
        <f t="shared" si="28"/>
        <v>0906 (Kab. Tegal)</v>
      </c>
    </row>
    <row r="323" spans="1:3" s="46" customFormat="1" outlineLevel="1" x14ac:dyDescent="0.3">
      <c r="A323" s="50" t="s">
        <v>406</v>
      </c>
      <c r="B323" s="48" t="s">
        <v>405</v>
      </c>
      <c r="C323" s="34" t="str">
        <f t="shared" si="28"/>
        <v>0907 (Kab. Brebes)</v>
      </c>
    </row>
    <row r="324" spans="1:3" s="46" customFormat="1" outlineLevel="1" x14ac:dyDescent="0.3">
      <c r="A324" s="50" t="s">
        <v>408</v>
      </c>
      <c r="B324" s="48" t="s">
        <v>407</v>
      </c>
      <c r="C324" s="34" t="str">
        <f t="shared" si="28"/>
        <v>0908 (Kab. Pati)</v>
      </c>
    </row>
    <row r="325" spans="1:3" s="46" customFormat="1" outlineLevel="1" x14ac:dyDescent="0.3">
      <c r="A325" s="50" t="s">
        <v>410</v>
      </c>
      <c r="B325" s="48" t="s">
        <v>409</v>
      </c>
      <c r="C325" s="34" t="str">
        <f t="shared" si="28"/>
        <v>0909 (Kab. Kudus)</v>
      </c>
    </row>
    <row r="326" spans="1:3" s="46" customFormat="1" outlineLevel="1" x14ac:dyDescent="0.3">
      <c r="A326" s="50" t="s">
        <v>412</v>
      </c>
      <c r="B326" s="48" t="s">
        <v>411</v>
      </c>
      <c r="C326" s="34" t="str">
        <f t="shared" si="28"/>
        <v>0910 (Kab. Pemalang)</v>
      </c>
    </row>
    <row r="327" spans="1:3" s="46" customFormat="1" outlineLevel="1" x14ac:dyDescent="0.3">
      <c r="A327" s="50" t="s">
        <v>414</v>
      </c>
      <c r="B327" s="48" t="s">
        <v>413</v>
      </c>
      <c r="C327" s="34" t="str">
        <f t="shared" si="28"/>
        <v>0911 (Kab. Jepara)</v>
      </c>
    </row>
    <row r="328" spans="1:3" s="46" customFormat="1" outlineLevel="1" x14ac:dyDescent="0.3">
      <c r="A328" s="50" t="s">
        <v>416</v>
      </c>
      <c r="B328" s="48" t="s">
        <v>415</v>
      </c>
      <c r="C328" s="34" t="str">
        <f t="shared" si="28"/>
        <v>0912 (Kab. Rembang)</v>
      </c>
    </row>
    <row r="329" spans="1:3" s="46" customFormat="1" outlineLevel="1" x14ac:dyDescent="0.3">
      <c r="A329" s="50" t="s">
        <v>418</v>
      </c>
      <c r="B329" s="48" t="s">
        <v>417</v>
      </c>
      <c r="C329" s="34" t="str">
        <f t="shared" si="28"/>
        <v>0913 (Kab. Blora)</v>
      </c>
    </row>
    <row r="330" spans="1:3" s="46" customFormat="1" outlineLevel="1" x14ac:dyDescent="0.3">
      <c r="A330" s="50" t="s">
        <v>420</v>
      </c>
      <c r="B330" s="48" t="s">
        <v>419</v>
      </c>
      <c r="C330" s="34" t="str">
        <f t="shared" si="28"/>
        <v>0914 (Kab. Banyumas)</v>
      </c>
    </row>
    <row r="331" spans="1:3" s="46" customFormat="1" outlineLevel="1" x14ac:dyDescent="0.3">
      <c r="A331" s="50" t="s">
        <v>422</v>
      </c>
      <c r="B331" s="48" t="s">
        <v>421</v>
      </c>
      <c r="C331" s="34" t="str">
        <f t="shared" ref="C331:C394" si="29">IF(A331&lt;&gt;"",CONCATENATE(A331, " (",B331,")"),"")</f>
        <v>0915 (Kab. Cilacap)</v>
      </c>
    </row>
    <row r="332" spans="1:3" s="46" customFormat="1" outlineLevel="1" x14ac:dyDescent="0.3">
      <c r="A332" s="50" t="s">
        <v>424</v>
      </c>
      <c r="B332" s="48" t="s">
        <v>423</v>
      </c>
      <c r="C332" s="34" t="str">
        <f t="shared" si="29"/>
        <v>0916 (Kab. Purbalingga)</v>
      </c>
    </row>
    <row r="333" spans="1:3" s="46" customFormat="1" outlineLevel="1" x14ac:dyDescent="0.3">
      <c r="A333" s="50" t="s">
        <v>426</v>
      </c>
      <c r="B333" s="48" t="s">
        <v>425</v>
      </c>
      <c r="C333" s="34" t="str">
        <f t="shared" si="29"/>
        <v>0917 (Kab. Banjarnegara)</v>
      </c>
    </row>
    <row r="334" spans="1:3" s="46" customFormat="1" outlineLevel="1" x14ac:dyDescent="0.3">
      <c r="A334" s="50" t="s">
        <v>428</v>
      </c>
      <c r="B334" s="48" t="s">
        <v>427</v>
      </c>
      <c r="C334" s="34" t="str">
        <f t="shared" si="29"/>
        <v>0918 (Kab. Magelang)</v>
      </c>
    </row>
    <row r="335" spans="1:3" s="46" customFormat="1" outlineLevel="1" x14ac:dyDescent="0.3">
      <c r="A335" s="50" t="s">
        <v>430</v>
      </c>
      <c r="B335" s="48" t="s">
        <v>429</v>
      </c>
      <c r="C335" s="34" t="str">
        <f t="shared" si="29"/>
        <v>0919 (Kab. Temanggung)</v>
      </c>
    </row>
    <row r="336" spans="1:3" s="46" customFormat="1" outlineLevel="1" x14ac:dyDescent="0.3">
      <c r="A336" s="50" t="s">
        <v>432</v>
      </c>
      <c r="B336" s="48" t="s">
        <v>431</v>
      </c>
      <c r="C336" s="34" t="str">
        <f t="shared" si="29"/>
        <v>0920 (Kab. Wonosobo)</v>
      </c>
    </row>
    <row r="337" spans="1:3" s="46" customFormat="1" outlineLevel="1" x14ac:dyDescent="0.3">
      <c r="A337" s="50" t="s">
        <v>434</v>
      </c>
      <c r="B337" s="48" t="s">
        <v>433</v>
      </c>
      <c r="C337" s="34" t="str">
        <f t="shared" si="29"/>
        <v>0921 (Kab. Purworejo)</v>
      </c>
    </row>
    <row r="338" spans="1:3" s="46" customFormat="1" outlineLevel="1" x14ac:dyDescent="0.3">
      <c r="A338" s="50" t="s">
        <v>436</v>
      </c>
      <c r="B338" s="48" t="s">
        <v>435</v>
      </c>
      <c r="C338" s="34" t="str">
        <f t="shared" si="29"/>
        <v>0922 (Kab. Kebumen)</v>
      </c>
    </row>
    <row r="339" spans="1:3" s="46" customFormat="1" outlineLevel="1" x14ac:dyDescent="0.3">
      <c r="A339" s="50" t="s">
        <v>438</v>
      </c>
      <c r="B339" s="48" t="s">
        <v>437</v>
      </c>
      <c r="C339" s="34" t="str">
        <f t="shared" si="29"/>
        <v>0923 (Kab. Klaten)</v>
      </c>
    </row>
    <row r="340" spans="1:3" s="46" customFormat="1" outlineLevel="1" x14ac:dyDescent="0.3">
      <c r="A340" s="50" t="s">
        <v>440</v>
      </c>
      <c r="B340" s="48" t="s">
        <v>439</v>
      </c>
      <c r="C340" s="34" t="str">
        <f t="shared" si="29"/>
        <v>0924 (Kab. Boyolali)</v>
      </c>
    </row>
    <row r="341" spans="1:3" s="46" customFormat="1" outlineLevel="1" x14ac:dyDescent="0.3">
      <c r="A341" s="50" t="s">
        <v>442</v>
      </c>
      <c r="B341" s="48" t="s">
        <v>441</v>
      </c>
      <c r="C341" s="34" t="str">
        <f t="shared" si="29"/>
        <v>0925 (Kab. Sragen)</v>
      </c>
    </row>
    <row r="342" spans="1:3" s="46" customFormat="1" outlineLevel="1" x14ac:dyDescent="0.3">
      <c r="A342" s="50" t="s">
        <v>444</v>
      </c>
      <c r="B342" s="48" t="s">
        <v>443</v>
      </c>
      <c r="C342" s="34" t="str">
        <f t="shared" si="29"/>
        <v>0926 (Kab. Sukoharjo)</v>
      </c>
    </row>
    <row r="343" spans="1:3" s="46" customFormat="1" outlineLevel="1" x14ac:dyDescent="0.3">
      <c r="A343" s="50" t="s">
        <v>446</v>
      </c>
      <c r="B343" s="48" t="s">
        <v>445</v>
      </c>
      <c r="C343" s="34" t="str">
        <f t="shared" si="29"/>
        <v>0927 (Kab. Karanganyar)</v>
      </c>
    </row>
    <row r="344" spans="1:3" s="46" customFormat="1" outlineLevel="1" x14ac:dyDescent="0.3">
      <c r="A344" s="50" t="s">
        <v>448</v>
      </c>
      <c r="B344" s="48" t="s">
        <v>447</v>
      </c>
      <c r="C344" s="34" t="str">
        <f t="shared" si="29"/>
        <v>0928 (Kab. Wonogiri)</v>
      </c>
    </row>
    <row r="345" spans="1:3" s="46" customFormat="1" outlineLevel="1" x14ac:dyDescent="0.3">
      <c r="A345" s="50" t="s">
        <v>450</v>
      </c>
      <c r="B345" s="48" t="s">
        <v>449</v>
      </c>
      <c r="C345" s="34" t="str">
        <f t="shared" si="29"/>
        <v>0929 (Kab. Batang)</v>
      </c>
    </row>
    <row r="346" spans="1:3" s="46" customFormat="1" outlineLevel="1" x14ac:dyDescent="0.3">
      <c r="A346" s="50" t="s">
        <v>452</v>
      </c>
      <c r="B346" s="48" t="s">
        <v>451</v>
      </c>
      <c r="C346" s="34" t="str">
        <f t="shared" si="29"/>
        <v>0991 (Kota Semarang)</v>
      </c>
    </row>
    <row r="347" spans="1:3" s="46" customFormat="1" outlineLevel="1" x14ac:dyDescent="0.3">
      <c r="A347" s="50" t="s">
        <v>454</v>
      </c>
      <c r="B347" s="48" t="s">
        <v>453</v>
      </c>
      <c r="C347" s="34" t="str">
        <f t="shared" si="29"/>
        <v>0992 (Kota Salatiga)</v>
      </c>
    </row>
    <row r="348" spans="1:3" s="46" customFormat="1" outlineLevel="1" x14ac:dyDescent="0.3">
      <c r="A348" s="50" t="s">
        <v>456</v>
      </c>
      <c r="B348" s="48" t="s">
        <v>455</v>
      </c>
      <c r="C348" s="34" t="str">
        <f t="shared" si="29"/>
        <v>0993 (Kota Pekalongan)</v>
      </c>
    </row>
    <row r="349" spans="1:3" s="46" customFormat="1" outlineLevel="1" x14ac:dyDescent="0.3">
      <c r="A349" s="50" t="s">
        <v>458</v>
      </c>
      <c r="B349" s="48" t="s">
        <v>457</v>
      </c>
      <c r="C349" s="34" t="str">
        <f t="shared" si="29"/>
        <v>0994 (Kota Tegal)</v>
      </c>
    </row>
    <row r="350" spans="1:3" s="46" customFormat="1" outlineLevel="1" x14ac:dyDescent="0.3">
      <c r="A350" s="50" t="s">
        <v>460</v>
      </c>
      <c r="B350" s="48" t="s">
        <v>459</v>
      </c>
      <c r="C350" s="34" t="str">
        <f t="shared" si="29"/>
        <v>0995 (Kota Magelang)</v>
      </c>
    </row>
    <row r="351" spans="1:3" s="46" customFormat="1" outlineLevel="1" x14ac:dyDescent="0.3">
      <c r="A351" s="50" t="s">
        <v>462</v>
      </c>
      <c r="B351" s="48" t="s">
        <v>461</v>
      </c>
      <c r="C351" s="34" t="str">
        <f t="shared" si="29"/>
        <v>0996 (Kota Surakarta/Solo)</v>
      </c>
    </row>
    <row r="352" spans="1:3" s="46" customFormat="1" outlineLevel="1" x14ac:dyDescent="0.3">
      <c r="A352" s="51"/>
      <c r="B352" s="48" t="s">
        <v>463</v>
      </c>
      <c r="C352" s="34" t="str">
        <f t="shared" si="29"/>
        <v/>
      </c>
    </row>
    <row r="353" spans="1:3" s="46" customFormat="1" outlineLevel="1" x14ac:dyDescent="0.3">
      <c r="A353" s="50" t="s">
        <v>465</v>
      </c>
      <c r="B353" s="48" t="s">
        <v>464</v>
      </c>
      <c r="C353" s="34" t="str">
        <f t="shared" si="29"/>
        <v>1201 (Kab. Gresik)</v>
      </c>
    </row>
    <row r="354" spans="1:3" s="46" customFormat="1" outlineLevel="1" x14ac:dyDescent="0.3">
      <c r="A354" s="50" t="s">
        <v>467</v>
      </c>
      <c r="B354" s="48" t="s">
        <v>466</v>
      </c>
      <c r="C354" s="34" t="str">
        <f t="shared" si="29"/>
        <v>1202 (Kab. Sidoarjo)</v>
      </c>
    </row>
    <row r="355" spans="1:3" s="46" customFormat="1" outlineLevel="1" x14ac:dyDescent="0.3">
      <c r="A355" s="50" t="s">
        <v>469</v>
      </c>
      <c r="B355" s="48" t="s">
        <v>468</v>
      </c>
      <c r="C355" s="34" t="str">
        <f t="shared" si="29"/>
        <v>1203 (Kab. Mojokerto)</v>
      </c>
    </row>
    <row r="356" spans="1:3" s="46" customFormat="1" outlineLevel="1" x14ac:dyDescent="0.3">
      <c r="A356" s="50" t="s">
        <v>471</v>
      </c>
      <c r="B356" s="48" t="s">
        <v>470</v>
      </c>
      <c r="C356" s="34" t="str">
        <f t="shared" si="29"/>
        <v>1204 (Kab. Jombang)</v>
      </c>
    </row>
    <row r="357" spans="1:3" s="46" customFormat="1" outlineLevel="1" x14ac:dyDescent="0.3">
      <c r="A357" s="50" t="s">
        <v>473</v>
      </c>
      <c r="B357" s="48" t="s">
        <v>472</v>
      </c>
      <c r="C357" s="34" t="str">
        <f t="shared" si="29"/>
        <v>1205 (Kab. Sampang)</v>
      </c>
    </row>
    <row r="358" spans="1:3" s="46" customFormat="1" outlineLevel="1" x14ac:dyDescent="0.3">
      <c r="A358" s="50" t="s">
        <v>475</v>
      </c>
      <c r="B358" s="48" t="s">
        <v>474</v>
      </c>
      <c r="C358" s="34" t="str">
        <f t="shared" si="29"/>
        <v>1206 (Kab. Pamekasan)</v>
      </c>
    </row>
    <row r="359" spans="1:3" s="46" customFormat="1" outlineLevel="1" x14ac:dyDescent="0.3">
      <c r="A359" s="50" t="s">
        <v>477</v>
      </c>
      <c r="B359" s="48" t="s">
        <v>476</v>
      </c>
      <c r="C359" s="34" t="str">
        <f t="shared" si="29"/>
        <v>1207 (Kab. Sumenep)</v>
      </c>
    </row>
    <row r="360" spans="1:3" s="46" customFormat="1" outlineLevel="1" x14ac:dyDescent="0.3">
      <c r="A360" s="50" t="s">
        <v>479</v>
      </c>
      <c r="B360" s="48" t="s">
        <v>478</v>
      </c>
      <c r="C360" s="34" t="str">
        <f t="shared" si="29"/>
        <v>1208 (Kab. Bangkalan)</v>
      </c>
    </row>
    <row r="361" spans="1:3" s="46" customFormat="1" outlineLevel="1" x14ac:dyDescent="0.3">
      <c r="A361" s="50" t="s">
        <v>481</v>
      </c>
      <c r="B361" s="48" t="s">
        <v>480</v>
      </c>
      <c r="C361" s="34" t="str">
        <f t="shared" si="29"/>
        <v>1209 (Kab. Bondowoso)</v>
      </c>
    </row>
    <row r="362" spans="1:3" s="46" customFormat="1" outlineLevel="1" x14ac:dyDescent="0.3">
      <c r="A362" s="50" t="s">
        <v>483</v>
      </c>
      <c r="B362" s="48" t="s">
        <v>482</v>
      </c>
      <c r="C362" s="34" t="str">
        <f t="shared" si="29"/>
        <v>1211 (Kab. Banyuwangi)</v>
      </c>
    </row>
    <row r="363" spans="1:3" s="46" customFormat="1" outlineLevel="1" x14ac:dyDescent="0.3">
      <c r="A363" s="50" t="s">
        <v>485</v>
      </c>
      <c r="B363" s="48" t="s">
        <v>484</v>
      </c>
      <c r="C363" s="34" t="str">
        <f t="shared" si="29"/>
        <v>1212 (Kab. Jember)</v>
      </c>
    </row>
    <row r="364" spans="1:3" s="46" customFormat="1" outlineLevel="1" x14ac:dyDescent="0.3">
      <c r="A364" s="50" t="s">
        <v>487</v>
      </c>
      <c r="B364" s="48" t="s">
        <v>486</v>
      </c>
      <c r="C364" s="34" t="str">
        <f t="shared" si="29"/>
        <v>1213 (Kab. Malang)</v>
      </c>
    </row>
    <row r="365" spans="1:3" s="46" customFormat="1" outlineLevel="1" x14ac:dyDescent="0.3">
      <c r="A365" s="50" t="s">
        <v>489</v>
      </c>
      <c r="B365" s="48" t="s">
        <v>488</v>
      </c>
      <c r="C365" s="34" t="str">
        <f t="shared" si="29"/>
        <v>1214 (Kab. Pasuruan)</v>
      </c>
    </row>
    <row r="366" spans="1:3" s="46" customFormat="1" outlineLevel="1" x14ac:dyDescent="0.3">
      <c r="A366" s="50" t="s">
        <v>491</v>
      </c>
      <c r="B366" s="48" t="s">
        <v>490</v>
      </c>
      <c r="C366" s="34" t="str">
        <f t="shared" si="29"/>
        <v>1215 (Kab. Probolinggo)</v>
      </c>
    </row>
    <row r="367" spans="1:3" s="46" customFormat="1" outlineLevel="1" x14ac:dyDescent="0.3">
      <c r="A367" s="50" t="s">
        <v>493</v>
      </c>
      <c r="B367" s="48" t="s">
        <v>492</v>
      </c>
      <c r="C367" s="34" t="str">
        <f t="shared" si="29"/>
        <v>1216 (Kab. Lumajang)</v>
      </c>
    </row>
    <row r="368" spans="1:3" s="46" customFormat="1" outlineLevel="1" x14ac:dyDescent="0.3">
      <c r="A368" s="50" t="s">
        <v>495</v>
      </c>
      <c r="B368" s="48" t="s">
        <v>494</v>
      </c>
      <c r="C368" s="34" t="str">
        <f t="shared" si="29"/>
        <v>1217 (Kab. Kediri)</v>
      </c>
    </row>
    <row r="369" spans="1:3" s="46" customFormat="1" outlineLevel="1" x14ac:dyDescent="0.3">
      <c r="A369" s="50" t="s">
        <v>497</v>
      </c>
      <c r="B369" s="48" t="s">
        <v>496</v>
      </c>
      <c r="C369" s="34" t="str">
        <f t="shared" si="29"/>
        <v>1218 (Kab. Nganjuk)</v>
      </c>
    </row>
    <row r="370" spans="1:3" s="46" customFormat="1" outlineLevel="1" x14ac:dyDescent="0.3">
      <c r="A370" s="50" t="s">
        <v>499</v>
      </c>
      <c r="B370" s="48" t="s">
        <v>498</v>
      </c>
      <c r="C370" s="34" t="str">
        <f t="shared" si="29"/>
        <v>1219 (Kab. Tulungagung)</v>
      </c>
    </row>
    <row r="371" spans="1:3" s="46" customFormat="1" outlineLevel="1" x14ac:dyDescent="0.3">
      <c r="A371" s="50" t="s">
        <v>501</v>
      </c>
      <c r="B371" s="48" t="s">
        <v>500</v>
      </c>
      <c r="C371" s="34" t="str">
        <f t="shared" si="29"/>
        <v>1220 (Kab. Trenggalek)</v>
      </c>
    </row>
    <row r="372" spans="1:3" s="46" customFormat="1" outlineLevel="1" x14ac:dyDescent="0.3">
      <c r="A372" s="50" t="s">
        <v>503</v>
      </c>
      <c r="B372" s="48" t="s">
        <v>502</v>
      </c>
      <c r="C372" s="34" t="str">
        <f t="shared" si="29"/>
        <v>1221 (Kab. Blitar)</v>
      </c>
    </row>
    <row r="373" spans="1:3" s="46" customFormat="1" outlineLevel="1" x14ac:dyDescent="0.3">
      <c r="A373" s="50" t="s">
        <v>505</v>
      </c>
      <c r="B373" s="48" t="s">
        <v>504</v>
      </c>
      <c r="C373" s="34" t="str">
        <f t="shared" si="29"/>
        <v>1222 (Kab. Madiun)</v>
      </c>
    </row>
    <row r="374" spans="1:3" s="46" customFormat="1" outlineLevel="1" x14ac:dyDescent="0.3">
      <c r="A374" s="50" t="s">
        <v>507</v>
      </c>
      <c r="B374" s="48" t="s">
        <v>506</v>
      </c>
      <c r="C374" s="34" t="str">
        <f t="shared" si="29"/>
        <v>1223 (Kab. Ngawi)</v>
      </c>
    </row>
    <row r="375" spans="1:3" s="46" customFormat="1" outlineLevel="1" x14ac:dyDescent="0.3">
      <c r="A375" s="50" t="s">
        <v>509</v>
      </c>
      <c r="B375" s="48" t="s">
        <v>508</v>
      </c>
      <c r="C375" s="34" t="str">
        <f t="shared" si="29"/>
        <v>1224 (Kab. Magetan)</v>
      </c>
    </row>
    <row r="376" spans="1:3" s="46" customFormat="1" outlineLevel="1" x14ac:dyDescent="0.3">
      <c r="A376" s="50" t="s">
        <v>511</v>
      </c>
      <c r="B376" s="48" t="s">
        <v>510</v>
      </c>
      <c r="C376" s="34" t="str">
        <f t="shared" si="29"/>
        <v>1225 (Kab. Ponorogo)</v>
      </c>
    </row>
    <row r="377" spans="1:3" s="46" customFormat="1" outlineLevel="1" x14ac:dyDescent="0.3">
      <c r="A377" s="50" t="s">
        <v>513</v>
      </c>
      <c r="B377" s="48" t="s">
        <v>512</v>
      </c>
      <c r="C377" s="34" t="str">
        <f t="shared" si="29"/>
        <v>1226 (Kab. Pacitan)</v>
      </c>
    </row>
    <row r="378" spans="1:3" s="46" customFormat="1" outlineLevel="1" x14ac:dyDescent="0.3">
      <c r="A378" s="50" t="s">
        <v>515</v>
      </c>
      <c r="B378" s="48" t="s">
        <v>514</v>
      </c>
      <c r="C378" s="34" t="str">
        <f t="shared" si="29"/>
        <v>1227 (Kab. Bojonegoro)</v>
      </c>
    </row>
    <row r="379" spans="1:3" s="46" customFormat="1" outlineLevel="1" x14ac:dyDescent="0.3">
      <c r="A379" s="50" t="s">
        <v>517</v>
      </c>
      <c r="B379" s="48" t="s">
        <v>516</v>
      </c>
      <c r="C379" s="34" t="str">
        <f t="shared" si="29"/>
        <v>1228 (Kab. Tuban)</v>
      </c>
    </row>
    <row r="380" spans="1:3" s="46" customFormat="1" outlineLevel="1" x14ac:dyDescent="0.3">
      <c r="A380" s="50" t="s">
        <v>519</v>
      </c>
      <c r="B380" s="48" t="s">
        <v>518</v>
      </c>
      <c r="C380" s="34" t="str">
        <f t="shared" si="29"/>
        <v>1229 (Kab. Lamongan)</v>
      </c>
    </row>
    <row r="381" spans="1:3" s="46" customFormat="1" outlineLevel="1" x14ac:dyDescent="0.3">
      <c r="A381" s="50" t="s">
        <v>521</v>
      </c>
      <c r="B381" s="48" t="s">
        <v>520</v>
      </c>
      <c r="C381" s="34" t="str">
        <f t="shared" si="29"/>
        <v>1230 (Kab. Situbondo)</v>
      </c>
    </row>
    <row r="382" spans="1:3" s="46" customFormat="1" outlineLevel="1" x14ac:dyDescent="0.3">
      <c r="A382" s="50" t="s">
        <v>523</v>
      </c>
      <c r="B382" s="48" t="s">
        <v>522</v>
      </c>
      <c r="C382" s="34" t="str">
        <f t="shared" si="29"/>
        <v>1271 (Kota Batu)</v>
      </c>
    </row>
    <row r="383" spans="1:3" s="46" customFormat="1" outlineLevel="1" x14ac:dyDescent="0.3">
      <c r="A383" s="50" t="s">
        <v>525</v>
      </c>
      <c r="B383" s="48" t="s">
        <v>524</v>
      </c>
      <c r="C383" s="34" t="str">
        <f t="shared" si="29"/>
        <v>1291 (Kota Surabaya)</v>
      </c>
    </row>
    <row r="384" spans="1:3" s="46" customFormat="1" outlineLevel="1" x14ac:dyDescent="0.3">
      <c r="A384" s="50" t="s">
        <v>527</v>
      </c>
      <c r="B384" s="48" t="s">
        <v>526</v>
      </c>
      <c r="C384" s="34" t="str">
        <f t="shared" si="29"/>
        <v>1292 (Kota Mojokerto)</v>
      </c>
    </row>
    <row r="385" spans="1:3" s="46" customFormat="1" outlineLevel="1" x14ac:dyDescent="0.3">
      <c r="A385" s="50" t="s">
        <v>529</v>
      </c>
      <c r="B385" s="48" t="s">
        <v>528</v>
      </c>
      <c r="C385" s="34" t="str">
        <f t="shared" si="29"/>
        <v>1293 (Kota Malang)</v>
      </c>
    </row>
    <row r="386" spans="1:3" s="46" customFormat="1" outlineLevel="1" x14ac:dyDescent="0.3">
      <c r="A386" s="50" t="s">
        <v>531</v>
      </c>
      <c r="B386" s="48" t="s">
        <v>530</v>
      </c>
      <c r="C386" s="34" t="str">
        <f t="shared" si="29"/>
        <v>1294 (Kota Pasuruan)</v>
      </c>
    </row>
    <row r="387" spans="1:3" s="46" customFormat="1" outlineLevel="1" x14ac:dyDescent="0.3">
      <c r="A387" s="50" t="s">
        <v>533</v>
      </c>
      <c r="B387" s="48" t="s">
        <v>532</v>
      </c>
      <c r="C387" s="34" t="str">
        <f t="shared" si="29"/>
        <v>1295 (Kota Probolinggo)</v>
      </c>
    </row>
    <row r="388" spans="1:3" s="46" customFormat="1" outlineLevel="1" x14ac:dyDescent="0.3">
      <c r="A388" s="50" t="s">
        <v>535</v>
      </c>
      <c r="B388" s="48" t="s">
        <v>534</v>
      </c>
      <c r="C388" s="34" t="str">
        <f t="shared" si="29"/>
        <v>1296 (Kota Blitar)</v>
      </c>
    </row>
    <row r="389" spans="1:3" s="46" customFormat="1" outlineLevel="1" x14ac:dyDescent="0.3">
      <c r="A389" s="50" t="s">
        <v>537</v>
      </c>
      <c r="B389" s="48" t="s">
        <v>536</v>
      </c>
      <c r="C389" s="34" t="str">
        <f t="shared" si="29"/>
        <v>1297 (Kota Kediri)</v>
      </c>
    </row>
    <row r="390" spans="1:3" s="46" customFormat="1" outlineLevel="1" x14ac:dyDescent="0.3">
      <c r="A390" s="50" t="s">
        <v>539</v>
      </c>
      <c r="B390" s="48" t="s">
        <v>538</v>
      </c>
      <c r="C390" s="34" t="str">
        <f t="shared" si="29"/>
        <v>1298 (Kota Madiun)</v>
      </c>
    </row>
    <row r="391" spans="1:3" s="46" customFormat="1" outlineLevel="1" x14ac:dyDescent="0.3">
      <c r="A391" s="51"/>
      <c r="B391" s="48" t="s">
        <v>540</v>
      </c>
      <c r="C391" s="34" t="str">
        <f t="shared" si="29"/>
        <v/>
      </c>
    </row>
    <row r="392" spans="1:3" s="46" customFormat="1" outlineLevel="1" x14ac:dyDescent="0.3">
      <c r="A392" s="50" t="s">
        <v>542</v>
      </c>
      <c r="B392" s="48" t="s">
        <v>541</v>
      </c>
      <c r="C392" s="34" t="str">
        <f t="shared" si="29"/>
        <v>2301 (Kab. Bengkulu Selatan)</v>
      </c>
    </row>
    <row r="393" spans="1:3" s="46" customFormat="1" outlineLevel="1" x14ac:dyDescent="0.3">
      <c r="A393" s="50" t="s">
        <v>544</v>
      </c>
      <c r="B393" s="48" t="s">
        <v>543</v>
      </c>
      <c r="C393" s="34" t="str">
        <f t="shared" si="29"/>
        <v>2302 (Kab. Bengkulu Utara)</v>
      </c>
    </row>
    <row r="394" spans="1:3" s="46" customFormat="1" outlineLevel="1" x14ac:dyDescent="0.3">
      <c r="A394" s="50" t="s">
        <v>546</v>
      </c>
      <c r="B394" s="48" t="s">
        <v>545</v>
      </c>
      <c r="C394" s="34" t="str">
        <f t="shared" si="29"/>
        <v>2303 (Kab. Rejang Lebong)</v>
      </c>
    </row>
    <row r="395" spans="1:3" s="46" customFormat="1" outlineLevel="1" x14ac:dyDescent="0.3">
      <c r="A395" s="50" t="s">
        <v>548</v>
      </c>
      <c r="B395" s="48" t="s">
        <v>547</v>
      </c>
      <c r="C395" s="34" t="str">
        <f t="shared" ref="C395:C458" si="30">IF(A395&lt;&gt;"",CONCATENATE(A395, " (",B395,")"),"")</f>
        <v>2304 (Kab. Lebong)</v>
      </c>
    </row>
    <row r="396" spans="1:3" s="46" customFormat="1" outlineLevel="1" x14ac:dyDescent="0.3">
      <c r="A396" s="50" t="s">
        <v>550</v>
      </c>
      <c r="B396" s="48" t="s">
        <v>549</v>
      </c>
      <c r="C396" s="34" t="str">
        <f t="shared" si="30"/>
        <v>2305 (Kab. Kepahiang)</v>
      </c>
    </row>
    <row r="397" spans="1:3" s="46" customFormat="1" outlineLevel="1" x14ac:dyDescent="0.3">
      <c r="A397" s="50" t="s">
        <v>552</v>
      </c>
      <c r="B397" s="48" t="s">
        <v>551</v>
      </c>
      <c r="C397" s="34" t="str">
        <f t="shared" si="30"/>
        <v>2306 (Kab. Mukomuko)</v>
      </c>
    </row>
    <row r="398" spans="1:3" s="46" customFormat="1" outlineLevel="1" x14ac:dyDescent="0.3">
      <c r="A398" s="50" t="s">
        <v>554</v>
      </c>
      <c r="B398" s="48" t="s">
        <v>553</v>
      </c>
      <c r="C398" s="34" t="str">
        <f t="shared" si="30"/>
        <v>2307 (Kab. Seluma)</v>
      </c>
    </row>
    <row r="399" spans="1:3" s="46" customFormat="1" outlineLevel="1" x14ac:dyDescent="0.3">
      <c r="A399" s="50" t="s">
        <v>556</v>
      </c>
      <c r="B399" s="48" t="s">
        <v>555</v>
      </c>
      <c r="C399" s="34" t="str">
        <f t="shared" si="30"/>
        <v>2308 (Kab. Kaur)</v>
      </c>
    </row>
    <row r="400" spans="1:3" s="46" customFormat="1" outlineLevel="1" x14ac:dyDescent="0.3">
      <c r="A400" s="50" t="s">
        <v>558</v>
      </c>
      <c r="B400" s="48" t="s">
        <v>557</v>
      </c>
      <c r="C400" s="34" t="str">
        <f t="shared" si="30"/>
        <v>2309 (Kab. Bengkulu Tengah)</v>
      </c>
    </row>
    <row r="401" spans="1:3" s="46" customFormat="1" outlineLevel="1" x14ac:dyDescent="0.3">
      <c r="A401" s="50" t="s">
        <v>560</v>
      </c>
      <c r="B401" s="48" t="s">
        <v>559</v>
      </c>
      <c r="C401" s="34" t="str">
        <f t="shared" si="30"/>
        <v>2391 (Kota Bengkulu)</v>
      </c>
    </row>
    <row r="402" spans="1:3" s="46" customFormat="1" outlineLevel="1" x14ac:dyDescent="0.3">
      <c r="A402" s="51"/>
      <c r="B402" s="48" t="s">
        <v>561</v>
      </c>
      <c r="C402" s="34" t="str">
        <f t="shared" si="30"/>
        <v/>
      </c>
    </row>
    <row r="403" spans="1:3" s="46" customFormat="1" outlineLevel="1" x14ac:dyDescent="0.3">
      <c r="A403" s="50" t="s">
        <v>563</v>
      </c>
      <c r="B403" s="48" t="s">
        <v>562</v>
      </c>
      <c r="C403" s="34" t="str">
        <f t="shared" si="30"/>
        <v>3101 (Kab. Batanghari)</v>
      </c>
    </row>
    <row r="404" spans="1:3" s="46" customFormat="1" outlineLevel="1" x14ac:dyDescent="0.3">
      <c r="A404" s="50" t="s">
        <v>565</v>
      </c>
      <c r="B404" s="48" t="s">
        <v>564</v>
      </c>
      <c r="C404" s="34" t="str">
        <f t="shared" si="30"/>
        <v>3104 (Kab. Sarolangun)</v>
      </c>
    </row>
    <row r="405" spans="1:3" s="46" customFormat="1" outlineLevel="1" x14ac:dyDescent="0.3">
      <c r="A405" s="50" t="s">
        <v>567</v>
      </c>
      <c r="B405" s="48" t="s">
        <v>566</v>
      </c>
      <c r="C405" s="34" t="str">
        <f t="shared" si="30"/>
        <v>3105 (Kab. Kerinci)</v>
      </c>
    </row>
    <row r="406" spans="1:3" s="46" customFormat="1" outlineLevel="1" x14ac:dyDescent="0.3">
      <c r="A406" s="50" t="s">
        <v>569</v>
      </c>
      <c r="B406" s="48" t="s">
        <v>568</v>
      </c>
      <c r="C406" s="34" t="str">
        <f t="shared" si="30"/>
        <v>3106 (Kab. Muaro Jambi)</v>
      </c>
    </row>
    <row r="407" spans="1:3" s="46" customFormat="1" outlineLevel="1" x14ac:dyDescent="0.3">
      <c r="A407" s="50" t="s">
        <v>571</v>
      </c>
      <c r="B407" s="48" t="s">
        <v>570</v>
      </c>
      <c r="C407" s="34" t="str">
        <f t="shared" si="30"/>
        <v>3107 (Kab. Tanjung Jabung Barat)</v>
      </c>
    </row>
    <row r="408" spans="1:3" s="46" customFormat="1" outlineLevel="1" x14ac:dyDescent="0.3">
      <c r="A408" s="50" t="s">
        <v>573</v>
      </c>
      <c r="B408" s="48" t="s">
        <v>572</v>
      </c>
      <c r="C408" s="34" t="str">
        <f t="shared" si="30"/>
        <v>3108 (Kab. Tanjung Jabung Timur)</v>
      </c>
    </row>
    <row r="409" spans="1:3" s="46" customFormat="1" outlineLevel="1" x14ac:dyDescent="0.3">
      <c r="A409" s="50" t="s">
        <v>575</v>
      </c>
      <c r="B409" s="48" t="s">
        <v>574</v>
      </c>
      <c r="C409" s="34" t="str">
        <f t="shared" si="30"/>
        <v>3109 (Kab. Tebo)</v>
      </c>
    </row>
    <row r="410" spans="1:3" s="46" customFormat="1" outlineLevel="1" x14ac:dyDescent="0.3">
      <c r="A410" s="50" t="s">
        <v>577</v>
      </c>
      <c r="B410" s="48" t="s">
        <v>576</v>
      </c>
      <c r="C410" s="34" t="str">
        <f t="shared" si="30"/>
        <v>3111 (Kab. Merangin)</v>
      </c>
    </row>
    <row r="411" spans="1:3" s="46" customFormat="1" outlineLevel="1" x14ac:dyDescent="0.3">
      <c r="A411" s="50" t="s">
        <v>579</v>
      </c>
      <c r="B411" s="48" t="s">
        <v>578</v>
      </c>
      <c r="C411" s="34" t="str">
        <f t="shared" si="30"/>
        <v>3112 (Kab. Bungo)</v>
      </c>
    </row>
    <row r="412" spans="1:3" s="46" customFormat="1" outlineLevel="1" x14ac:dyDescent="0.3">
      <c r="A412" s="50" t="s">
        <v>581</v>
      </c>
      <c r="B412" s="48" t="s">
        <v>580</v>
      </c>
      <c r="C412" s="34" t="str">
        <f t="shared" si="30"/>
        <v>3191 (Kota Jambi)</v>
      </c>
    </row>
    <row r="413" spans="1:3" s="46" customFormat="1" outlineLevel="1" x14ac:dyDescent="0.3">
      <c r="A413" s="50" t="s">
        <v>583</v>
      </c>
      <c r="B413" s="48" t="s">
        <v>582</v>
      </c>
      <c r="C413" s="34" t="str">
        <f t="shared" si="30"/>
        <v>3192 (Kota Sungai Penuh)</v>
      </c>
    </row>
    <row r="414" spans="1:3" s="46" customFormat="1" outlineLevel="1" x14ac:dyDescent="0.3">
      <c r="A414" s="51"/>
      <c r="B414" s="48" t="s">
        <v>584</v>
      </c>
      <c r="C414" s="34" t="str">
        <f t="shared" si="30"/>
        <v/>
      </c>
    </row>
    <row r="415" spans="1:3" s="46" customFormat="1" outlineLevel="1" x14ac:dyDescent="0.3">
      <c r="A415" s="50" t="s">
        <v>586</v>
      </c>
      <c r="B415" s="48" t="s">
        <v>585</v>
      </c>
      <c r="C415" s="34" t="str">
        <f t="shared" si="30"/>
        <v>3201 (Kab. Aceh Besar)</v>
      </c>
    </row>
    <row r="416" spans="1:3" s="46" customFormat="1" outlineLevel="1" x14ac:dyDescent="0.3">
      <c r="A416" s="50" t="s">
        <v>588</v>
      </c>
      <c r="B416" s="48" t="s">
        <v>587</v>
      </c>
      <c r="C416" s="34" t="str">
        <f t="shared" si="30"/>
        <v>3202 (Kab. Pidie)</v>
      </c>
    </row>
    <row r="417" spans="1:3" s="46" customFormat="1" outlineLevel="1" x14ac:dyDescent="0.3">
      <c r="A417" s="50" t="s">
        <v>590</v>
      </c>
      <c r="B417" s="48" t="s">
        <v>589</v>
      </c>
      <c r="C417" s="34" t="str">
        <f t="shared" si="30"/>
        <v>3203 (Kab. Aceh Utara)</v>
      </c>
    </row>
    <row r="418" spans="1:3" s="46" customFormat="1" outlineLevel="1" x14ac:dyDescent="0.3">
      <c r="A418" s="50" t="s">
        <v>592</v>
      </c>
      <c r="B418" s="48" t="s">
        <v>591</v>
      </c>
      <c r="C418" s="34" t="str">
        <f t="shared" si="30"/>
        <v>3204 (Kab. Aceh Timur)</v>
      </c>
    </row>
    <row r="419" spans="1:3" s="46" customFormat="1" outlineLevel="1" x14ac:dyDescent="0.3">
      <c r="A419" s="50" t="s">
        <v>594</v>
      </c>
      <c r="B419" s="48" t="s">
        <v>593</v>
      </c>
      <c r="C419" s="34" t="str">
        <f t="shared" si="30"/>
        <v>3205 (Kab. Aceh Selatan)</v>
      </c>
    </row>
    <row r="420" spans="1:3" s="46" customFormat="1" outlineLevel="1" x14ac:dyDescent="0.3">
      <c r="A420" s="50" t="s">
        <v>596</v>
      </c>
      <c r="B420" s="48" t="s">
        <v>595</v>
      </c>
      <c r="C420" s="34" t="str">
        <f t="shared" si="30"/>
        <v>3206 (Kab. Aceh Barat)</v>
      </c>
    </row>
    <row r="421" spans="1:3" s="46" customFormat="1" outlineLevel="1" x14ac:dyDescent="0.3">
      <c r="A421" s="50" t="s">
        <v>598</v>
      </c>
      <c r="B421" s="48" t="s">
        <v>597</v>
      </c>
      <c r="C421" s="34" t="str">
        <f t="shared" si="30"/>
        <v>3207 (Kab. Aceh Tengah)</v>
      </c>
    </row>
    <row r="422" spans="1:3" s="46" customFormat="1" outlineLevel="1" x14ac:dyDescent="0.3">
      <c r="A422" s="50" t="s">
        <v>600</v>
      </c>
      <c r="B422" s="48" t="s">
        <v>599</v>
      </c>
      <c r="C422" s="34" t="str">
        <f t="shared" si="30"/>
        <v>3208 (Kab. Aceh Tenggara)</v>
      </c>
    </row>
    <row r="423" spans="1:3" s="46" customFormat="1" outlineLevel="1" x14ac:dyDescent="0.3">
      <c r="A423" s="50" t="s">
        <v>602</v>
      </c>
      <c r="B423" s="48" t="s">
        <v>601</v>
      </c>
      <c r="C423" s="34" t="str">
        <f t="shared" si="30"/>
        <v>3209 (Kab. Aceh Singkil)</v>
      </c>
    </row>
    <row r="424" spans="1:3" s="46" customFormat="1" outlineLevel="1" x14ac:dyDescent="0.3">
      <c r="A424" s="50" t="s">
        <v>604</v>
      </c>
      <c r="B424" s="48" t="s">
        <v>603</v>
      </c>
      <c r="C424" s="34" t="str">
        <f t="shared" si="30"/>
        <v>3210 (Kab. Aceh Jeumpa /Bireuen)</v>
      </c>
    </row>
    <row r="425" spans="1:3" s="46" customFormat="1" outlineLevel="1" x14ac:dyDescent="0.3">
      <c r="A425" s="50" t="s">
        <v>606</v>
      </c>
      <c r="B425" s="48" t="s">
        <v>605</v>
      </c>
      <c r="C425" s="34" t="str">
        <f t="shared" si="30"/>
        <v>3211 (Kab. Aceh Tamiang)</v>
      </c>
    </row>
    <row r="426" spans="1:3" s="46" customFormat="1" outlineLevel="1" x14ac:dyDescent="0.3">
      <c r="A426" s="50" t="s">
        <v>608</v>
      </c>
      <c r="B426" s="48" t="s">
        <v>607</v>
      </c>
      <c r="C426" s="34" t="str">
        <f t="shared" si="30"/>
        <v>3212 (Kab. Gayo Luwes)</v>
      </c>
    </row>
    <row r="427" spans="1:3" s="46" customFormat="1" outlineLevel="1" x14ac:dyDescent="0.3">
      <c r="A427" s="50" t="s">
        <v>610</v>
      </c>
      <c r="B427" s="48" t="s">
        <v>609</v>
      </c>
      <c r="C427" s="34" t="str">
        <f t="shared" si="30"/>
        <v>3213 (Kab. Aceh Barat Daya)</v>
      </c>
    </row>
    <row r="428" spans="1:3" s="46" customFormat="1" outlineLevel="1" x14ac:dyDescent="0.3">
      <c r="A428" s="50" t="s">
        <v>612</v>
      </c>
      <c r="B428" s="48" t="s">
        <v>611</v>
      </c>
      <c r="C428" s="34" t="str">
        <f t="shared" si="30"/>
        <v>3214 (Kab. Aceh Jaya)</v>
      </c>
    </row>
    <row r="429" spans="1:3" s="46" customFormat="1" outlineLevel="1" x14ac:dyDescent="0.3">
      <c r="A429" s="50" t="s">
        <v>614</v>
      </c>
      <c r="B429" s="48" t="s">
        <v>613</v>
      </c>
      <c r="C429" s="34" t="str">
        <f t="shared" si="30"/>
        <v>3215 (Kab. Nagan Raya)</v>
      </c>
    </row>
    <row r="430" spans="1:3" s="46" customFormat="1" outlineLevel="1" x14ac:dyDescent="0.3">
      <c r="A430" s="50" t="s">
        <v>616</v>
      </c>
      <c r="B430" s="48" t="s">
        <v>615</v>
      </c>
      <c r="C430" s="34" t="str">
        <f t="shared" si="30"/>
        <v>3216 (Kab. Simeuleu)</v>
      </c>
    </row>
    <row r="431" spans="1:3" s="46" customFormat="1" outlineLevel="1" x14ac:dyDescent="0.3">
      <c r="A431" s="50" t="s">
        <v>618</v>
      </c>
      <c r="B431" s="48" t="s">
        <v>617</v>
      </c>
      <c r="C431" s="34" t="str">
        <f t="shared" si="30"/>
        <v>3217 (Kab. Bener Meriah)</v>
      </c>
    </row>
    <row r="432" spans="1:3" s="46" customFormat="1" outlineLevel="1" x14ac:dyDescent="0.3">
      <c r="A432" s="50" t="s">
        <v>620</v>
      </c>
      <c r="B432" s="48" t="s">
        <v>619</v>
      </c>
      <c r="C432" s="34" t="str">
        <f t="shared" si="30"/>
        <v>3218 (Kab. Pidie Jaya)</v>
      </c>
    </row>
    <row r="433" spans="1:3" s="46" customFormat="1" outlineLevel="1" x14ac:dyDescent="0.3">
      <c r="A433" s="50" t="s">
        <v>622</v>
      </c>
      <c r="B433" s="48" t="s">
        <v>621</v>
      </c>
      <c r="C433" s="34" t="str">
        <f t="shared" si="30"/>
        <v>3219 (Kab. Subulussalam)</v>
      </c>
    </row>
    <row r="434" spans="1:3" s="46" customFormat="1" outlineLevel="1" x14ac:dyDescent="0.3">
      <c r="A434" s="50" t="s">
        <v>624</v>
      </c>
      <c r="B434" s="48" t="s">
        <v>623</v>
      </c>
      <c r="C434" s="34" t="str">
        <f t="shared" si="30"/>
        <v>3291 (Kota Banda Aceh)</v>
      </c>
    </row>
    <row r="435" spans="1:3" s="46" customFormat="1" outlineLevel="1" x14ac:dyDescent="0.3">
      <c r="A435" s="50" t="s">
        <v>626</v>
      </c>
      <c r="B435" s="48" t="s">
        <v>625</v>
      </c>
      <c r="C435" s="34" t="str">
        <f t="shared" si="30"/>
        <v>3292 (Kota Sabang)</v>
      </c>
    </row>
    <row r="436" spans="1:3" s="46" customFormat="1" outlineLevel="1" x14ac:dyDescent="0.3">
      <c r="A436" s="50" t="s">
        <v>628</v>
      </c>
      <c r="B436" s="48" t="s">
        <v>627</v>
      </c>
      <c r="C436" s="34" t="str">
        <f t="shared" si="30"/>
        <v>3293 (Kota Lhokseumawe)</v>
      </c>
    </row>
    <row r="437" spans="1:3" s="46" customFormat="1" outlineLevel="1" x14ac:dyDescent="0.3">
      <c r="A437" s="50" t="s">
        <v>630</v>
      </c>
      <c r="B437" s="48" t="s">
        <v>629</v>
      </c>
      <c r="C437" s="34" t="str">
        <f t="shared" si="30"/>
        <v>3294 (Kota Langsa)</v>
      </c>
    </row>
    <row r="438" spans="1:3" s="46" customFormat="1" outlineLevel="1" x14ac:dyDescent="0.3">
      <c r="A438" s="51"/>
      <c r="B438" s="48" t="s">
        <v>631</v>
      </c>
      <c r="C438" s="34" t="str">
        <f t="shared" si="30"/>
        <v/>
      </c>
    </row>
    <row r="439" spans="1:3" s="46" customFormat="1" outlineLevel="1" x14ac:dyDescent="0.3">
      <c r="A439" s="50" t="s">
        <v>633</v>
      </c>
      <c r="B439" s="48" t="s">
        <v>632</v>
      </c>
      <c r="C439" s="34" t="str">
        <f t="shared" si="30"/>
        <v>3301 (Kab. Deli Serdang)</v>
      </c>
    </row>
    <row r="440" spans="1:3" s="46" customFormat="1" outlineLevel="1" x14ac:dyDescent="0.3">
      <c r="A440" s="50" t="s">
        <v>635</v>
      </c>
      <c r="B440" s="48" t="s">
        <v>634</v>
      </c>
      <c r="C440" s="34" t="str">
        <f t="shared" si="30"/>
        <v>3302 (Kab. Langkat)</v>
      </c>
    </row>
    <row r="441" spans="1:3" s="46" customFormat="1" outlineLevel="1" x14ac:dyDescent="0.3">
      <c r="A441" s="50" t="s">
        <v>637</v>
      </c>
      <c r="B441" s="48" t="s">
        <v>636</v>
      </c>
      <c r="C441" s="34" t="str">
        <f t="shared" si="30"/>
        <v>3303 (Kab. Karo)</v>
      </c>
    </row>
    <row r="442" spans="1:3" s="46" customFormat="1" outlineLevel="1" x14ac:dyDescent="0.3">
      <c r="A442" s="50" t="s">
        <v>639</v>
      </c>
      <c r="B442" s="48" t="s">
        <v>638</v>
      </c>
      <c r="C442" s="34" t="str">
        <f t="shared" si="30"/>
        <v>3304 (Kab. Simalungun)</v>
      </c>
    </row>
    <row r="443" spans="1:3" s="46" customFormat="1" outlineLevel="1" x14ac:dyDescent="0.3">
      <c r="A443" s="50" t="s">
        <v>641</v>
      </c>
      <c r="B443" s="48" t="s">
        <v>640</v>
      </c>
      <c r="C443" s="34" t="str">
        <f t="shared" si="30"/>
        <v>3305 (Kab. Labuhan Batu)</v>
      </c>
    </row>
    <row r="444" spans="1:3" s="46" customFormat="1" outlineLevel="1" x14ac:dyDescent="0.3">
      <c r="A444" s="50" t="s">
        <v>643</v>
      </c>
      <c r="B444" s="48" t="s">
        <v>642</v>
      </c>
      <c r="C444" s="34" t="str">
        <f t="shared" si="30"/>
        <v>3306 (Kab. Asahan)</v>
      </c>
    </row>
    <row r="445" spans="1:3" s="46" customFormat="1" outlineLevel="1" x14ac:dyDescent="0.3">
      <c r="A445" s="50" t="s">
        <v>645</v>
      </c>
      <c r="B445" s="48" t="s">
        <v>644</v>
      </c>
      <c r="C445" s="34" t="str">
        <f t="shared" si="30"/>
        <v>3307 (Kab. Dairi)</v>
      </c>
    </row>
    <row r="446" spans="1:3" s="46" customFormat="1" outlineLevel="1" x14ac:dyDescent="0.3">
      <c r="A446" s="50" t="s">
        <v>647</v>
      </c>
      <c r="B446" s="48" t="s">
        <v>646</v>
      </c>
      <c r="C446" s="34" t="str">
        <f t="shared" si="30"/>
        <v>3308 (Kab. Tapanuli Utara)</v>
      </c>
    </row>
    <row r="447" spans="1:3" s="46" customFormat="1" outlineLevel="1" x14ac:dyDescent="0.3">
      <c r="A447" s="50" t="s">
        <v>649</v>
      </c>
      <c r="B447" s="48" t="s">
        <v>648</v>
      </c>
      <c r="C447" s="34" t="str">
        <f t="shared" si="30"/>
        <v>3309 (Kab. Tapanuli Tengah)</v>
      </c>
    </row>
    <row r="448" spans="1:3" s="46" customFormat="1" outlineLevel="1" x14ac:dyDescent="0.3">
      <c r="A448" s="50" t="s">
        <v>651</v>
      </c>
      <c r="B448" s="48" t="s">
        <v>650</v>
      </c>
      <c r="C448" s="34" t="str">
        <f t="shared" si="30"/>
        <v>3310 (Kab. Tapanuli Selatan)</v>
      </c>
    </row>
    <row r="449" spans="1:3" s="46" customFormat="1" outlineLevel="1" x14ac:dyDescent="0.3">
      <c r="A449" s="50" t="s">
        <v>653</v>
      </c>
      <c r="B449" s="48" t="s">
        <v>652</v>
      </c>
      <c r="C449" s="34" t="str">
        <f t="shared" si="30"/>
        <v>3311 (Kab. Nias)</v>
      </c>
    </row>
    <row r="450" spans="1:3" s="46" customFormat="1" outlineLevel="1" x14ac:dyDescent="0.3">
      <c r="A450" s="50" t="s">
        <v>655</v>
      </c>
      <c r="B450" s="48" t="s">
        <v>654</v>
      </c>
      <c r="C450" s="34" t="str">
        <f t="shared" si="30"/>
        <v>3313 (Kab. Toba Samosir)</v>
      </c>
    </row>
    <row r="451" spans="1:3" s="46" customFormat="1" outlineLevel="1" x14ac:dyDescent="0.3">
      <c r="A451" s="50" t="s">
        <v>657</v>
      </c>
      <c r="B451" s="48" t="s">
        <v>656</v>
      </c>
      <c r="C451" s="34" t="str">
        <f t="shared" si="30"/>
        <v>3314 (Kab. Mandailing Natal)</v>
      </c>
    </row>
    <row r="452" spans="1:3" s="46" customFormat="1" outlineLevel="1" x14ac:dyDescent="0.3">
      <c r="A452" s="50" t="s">
        <v>659</v>
      </c>
      <c r="B452" s="48" t="s">
        <v>658</v>
      </c>
      <c r="C452" s="34" t="str">
        <f t="shared" si="30"/>
        <v>3315 (Kab. Nias Selatan)</v>
      </c>
    </row>
    <row r="453" spans="1:3" s="46" customFormat="1" outlineLevel="1" x14ac:dyDescent="0.3">
      <c r="A453" s="50" t="s">
        <v>661</v>
      </c>
      <c r="B453" s="48" t="s">
        <v>660</v>
      </c>
      <c r="C453" s="34" t="str">
        <f t="shared" si="30"/>
        <v>3316 (Kab. Humbang Hasundutan)</v>
      </c>
    </row>
    <row r="454" spans="1:3" s="46" customFormat="1" outlineLevel="1" x14ac:dyDescent="0.3">
      <c r="A454" s="50" t="s">
        <v>663</v>
      </c>
      <c r="B454" s="48" t="s">
        <v>662</v>
      </c>
      <c r="C454" s="34" t="str">
        <f t="shared" si="30"/>
        <v>3317 (Kab. Pakpak Bharat)</v>
      </c>
    </row>
    <row r="455" spans="1:3" s="46" customFormat="1" outlineLevel="1" x14ac:dyDescent="0.3">
      <c r="A455" s="50" t="s">
        <v>665</v>
      </c>
      <c r="B455" s="48" t="s">
        <v>664</v>
      </c>
      <c r="C455" s="34" t="str">
        <f t="shared" si="30"/>
        <v>3318 (Kab. Samosir)</v>
      </c>
    </row>
    <row r="456" spans="1:3" s="46" customFormat="1" outlineLevel="1" x14ac:dyDescent="0.3">
      <c r="A456" s="50" t="s">
        <v>667</v>
      </c>
      <c r="B456" s="48" t="s">
        <v>666</v>
      </c>
      <c r="C456" s="34" t="str">
        <f t="shared" si="30"/>
        <v>3319 (Kab. Serdang Bedagai)</v>
      </c>
    </row>
    <row r="457" spans="1:3" s="46" customFormat="1" outlineLevel="1" x14ac:dyDescent="0.3">
      <c r="A457" s="50" t="s">
        <v>669</v>
      </c>
      <c r="B457" s="48" t="s">
        <v>668</v>
      </c>
      <c r="C457" s="34" t="str">
        <f t="shared" si="30"/>
        <v>3321 (Kab. Batu Bara)</v>
      </c>
    </row>
    <row r="458" spans="1:3" s="46" customFormat="1" outlineLevel="1" x14ac:dyDescent="0.3">
      <c r="A458" s="50" t="s">
        <v>671</v>
      </c>
      <c r="B458" s="48" t="s">
        <v>670</v>
      </c>
      <c r="C458" s="34" t="str">
        <f t="shared" si="30"/>
        <v>3322 (Kab. Padang Lawas)</v>
      </c>
    </row>
    <row r="459" spans="1:3" s="46" customFormat="1" outlineLevel="1" x14ac:dyDescent="0.3">
      <c r="A459" s="50" t="s">
        <v>673</v>
      </c>
      <c r="B459" s="48" t="s">
        <v>672</v>
      </c>
      <c r="C459" s="34" t="str">
        <f t="shared" ref="C459:C522" si="31">IF(A459&lt;&gt;"",CONCATENATE(A459, " (",B459,")"),"")</f>
        <v>3323 (Kab. Padang Lawas Utara)</v>
      </c>
    </row>
    <row r="460" spans="1:3" s="46" customFormat="1" outlineLevel="1" x14ac:dyDescent="0.3">
      <c r="A460" s="50" t="s">
        <v>675</v>
      </c>
      <c r="B460" s="48" t="s">
        <v>674</v>
      </c>
      <c r="C460" s="34" t="str">
        <f t="shared" si="31"/>
        <v>3324 (Kab. Labuanbatu Selatan)</v>
      </c>
    </row>
    <row r="461" spans="1:3" s="46" customFormat="1" outlineLevel="1" x14ac:dyDescent="0.3">
      <c r="A461" s="50" t="s">
        <v>677</v>
      </c>
      <c r="B461" s="48" t="s">
        <v>676</v>
      </c>
      <c r="C461" s="34" t="str">
        <f t="shared" si="31"/>
        <v>3325 (Kab. Labuanbatu Utara)</v>
      </c>
    </row>
    <row r="462" spans="1:3" s="46" customFormat="1" outlineLevel="1" x14ac:dyDescent="0.3">
      <c r="A462" s="50" t="s">
        <v>679</v>
      </c>
      <c r="B462" s="48" t="s">
        <v>678</v>
      </c>
      <c r="C462" s="34" t="str">
        <f t="shared" si="31"/>
        <v>3326 (Kab. Nias Barat)</v>
      </c>
    </row>
    <row r="463" spans="1:3" s="46" customFormat="1" outlineLevel="1" x14ac:dyDescent="0.3">
      <c r="A463" s="50" t="s">
        <v>681</v>
      </c>
      <c r="B463" s="48" t="s">
        <v>680</v>
      </c>
      <c r="C463" s="34" t="str">
        <f t="shared" si="31"/>
        <v>3327 (Kab. Nias Utara)</v>
      </c>
    </row>
    <row r="464" spans="1:3" s="46" customFormat="1" outlineLevel="1" x14ac:dyDescent="0.3">
      <c r="A464" s="50" t="s">
        <v>683</v>
      </c>
      <c r="B464" s="48" t="s">
        <v>682</v>
      </c>
      <c r="C464" s="34" t="str">
        <f t="shared" si="31"/>
        <v>3391 (Kota Tebing Tinggi)</v>
      </c>
    </row>
    <row r="465" spans="1:3" s="46" customFormat="1" outlineLevel="1" x14ac:dyDescent="0.3">
      <c r="A465" s="50" t="s">
        <v>685</v>
      </c>
      <c r="B465" s="48" t="s">
        <v>684</v>
      </c>
      <c r="C465" s="34" t="str">
        <f t="shared" si="31"/>
        <v>3392 (Kota Binjai)</v>
      </c>
    </row>
    <row r="466" spans="1:3" s="46" customFormat="1" outlineLevel="1" x14ac:dyDescent="0.3">
      <c r="A466" s="50" t="s">
        <v>687</v>
      </c>
      <c r="B466" s="48" t="s">
        <v>686</v>
      </c>
      <c r="C466" s="34" t="str">
        <f t="shared" si="31"/>
        <v>3393 (Kota Pematang Siantar)</v>
      </c>
    </row>
    <row r="467" spans="1:3" s="46" customFormat="1" outlineLevel="1" x14ac:dyDescent="0.3">
      <c r="A467" s="50" t="s">
        <v>689</v>
      </c>
      <c r="B467" s="48" t="s">
        <v>688</v>
      </c>
      <c r="C467" s="34" t="str">
        <f t="shared" si="31"/>
        <v>3394 (Kota Tanjung Balai)</v>
      </c>
    </row>
    <row r="468" spans="1:3" s="46" customFormat="1" outlineLevel="1" x14ac:dyDescent="0.3">
      <c r="A468" s="50" t="s">
        <v>691</v>
      </c>
      <c r="B468" s="48" t="s">
        <v>690</v>
      </c>
      <c r="C468" s="34" t="str">
        <f t="shared" si="31"/>
        <v>3395 (Kota Sibolga)</v>
      </c>
    </row>
    <row r="469" spans="1:3" s="46" customFormat="1" outlineLevel="1" x14ac:dyDescent="0.3">
      <c r="A469" s="50" t="s">
        <v>693</v>
      </c>
      <c r="B469" s="48" t="s">
        <v>692</v>
      </c>
      <c r="C469" s="34" t="str">
        <f t="shared" si="31"/>
        <v>3396 (Kota Medan)</v>
      </c>
    </row>
    <row r="470" spans="1:3" s="46" customFormat="1" outlineLevel="1" x14ac:dyDescent="0.3">
      <c r="A470" s="50" t="s">
        <v>695</v>
      </c>
      <c r="B470" s="48" t="s">
        <v>694</v>
      </c>
      <c r="C470" s="34" t="str">
        <f t="shared" si="31"/>
        <v>3397 (Kota Gunung Sitoli)</v>
      </c>
    </row>
    <row r="471" spans="1:3" s="46" customFormat="1" outlineLevel="1" x14ac:dyDescent="0.3">
      <c r="A471" s="50" t="s">
        <v>697</v>
      </c>
      <c r="B471" s="48" t="s">
        <v>696</v>
      </c>
      <c r="C471" s="34" t="str">
        <f t="shared" si="31"/>
        <v>3399 (Kota Padang Sidempuan)</v>
      </c>
    </row>
    <row r="472" spans="1:3" s="46" customFormat="1" outlineLevel="1" x14ac:dyDescent="0.3">
      <c r="A472" s="51"/>
      <c r="B472" s="48" t="s">
        <v>698</v>
      </c>
      <c r="C472" s="34" t="str">
        <f t="shared" si="31"/>
        <v/>
      </c>
    </row>
    <row r="473" spans="1:3" s="46" customFormat="1" outlineLevel="1" x14ac:dyDescent="0.3">
      <c r="A473" s="50" t="s">
        <v>700</v>
      </c>
      <c r="B473" s="48" t="s">
        <v>699</v>
      </c>
      <c r="C473" s="34" t="str">
        <f t="shared" si="31"/>
        <v>3401 (Kab. Agam)</v>
      </c>
    </row>
    <row r="474" spans="1:3" s="46" customFormat="1" outlineLevel="1" x14ac:dyDescent="0.3">
      <c r="A474" s="50" t="s">
        <v>702</v>
      </c>
      <c r="B474" s="48" t="s">
        <v>701</v>
      </c>
      <c r="C474" s="34" t="str">
        <f t="shared" si="31"/>
        <v>3402 (Kab. Pasaman)</v>
      </c>
    </row>
    <row r="475" spans="1:3" s="46" customFormat="1" outlineLevel="1" x14ac:dyDescent="0.3">
      <c r="A475" s="50" t="s">
        <v>704</v>
      </c>
      <c r="B475" s="48" t="s">
        <v>703</v>
      </c>
      <c r="C475" s="34" t="str">
        <f t="shared" si="31"/>
        <v>3403 (Kab. Limapuluh Kota)</v>
      </c>
    </row>
    <row r="476" spans="1:3" s="46" customFormat="1" outlineLevel="1" x14ac:dyDescent="0.3">
      <c r="A476" s="50" t="s">
        <v>706</v>
      </c>
      <c r="B476" s="48" t="s">
        <v>705</v>
      </c>
      <c r="C476" s="34" t="str">
        <f t="shared" si="31"/>
        <v>3404 (Kab. Solok Selatan)</v>
      </c>
    </row>
    <row r="477" spans="1:3" s="46" customFormat="1" outlineLevel="1" x14ac:dyDescent="0.3">
      <c r="A477" s="50" t="s">
        <v>708</v>
      </c>
      <c r="B477" s="48" t="s">
        <v>707</v>
      </c>
      <c r="C477" s="34" t="str">
        <f t="shared" si="31"/>
        <v>3405 (Kab. Padang Pariaman)</v>
      </c>
    </row>
    <row r="478" spans="1:3" s="46" customFormat="1" outlineLevel="1" x14ac:dyDescent="0.3">
      <c r="A478" s="50" t="s">
        <v>710</v>
      </c>
      <c r="B478" s="48" t="s">
        <v>709</v>
      </c>
      <c r="C478" s="34" t="str">
        <f t="shared" si="31"/>
        <v>3406 (Kab. Pesisir Selatan)</v>
      </c>
    </row>
    <row r="479" spans="1:3" s="46" customFormat="1" outlineLevel="1" x14ac:dyDescent="0.3">
      <c r="A479" s="50" t="s">
        <v>712</v>
      </c>
      <c r="B479" s="48" t="s">
        <v>711</v>
      </c>
      <c r="C479" s="34" t="str">
        <f t="shared" si="31"/>
        <v>3407 (Kab. Tanah Datar)</v>
      </c>
    </row>
    <row r="480" spans="1:3" s="46" customFormat="1" outlineLevel="1" x14ac:dyDescent="0.3">
      <c r="A480" s="50" t="s">
        <v>714</v>
      </c>
      <c r="B480" s="48" t="s">
        <v>713</v>
      </c>
      <c r="C480" s="34" t="str">
        <f t="shared" si="31"/>
        <v>3408 (Kab. Sawah Lunto/Sijunjung)</v>
      </c>
    </row>
    <row r="481" spans="1:3" s="46" customFormat="1" outlineLevel="1" x14ac:dyDescent="0.3">
      <c r="A481" s="50" t="s">
        <v>716</v>
      </c>
      <c r="B481" s="48" t="s">
        <v>715</v>
      </c>
      <c r="C481" s="34" t="str">
        <f t="shared" si="31"/>
        <v>3409 (Kab. Kepulauan Mentawai)</v>
      </c>
    </row>
    <row r="482" spans="1:3" s="46" customFormat="1" outlineLevel="1" x14ac:dyDescent="0.3">
      <c r="A482" s="50" t="s">
        <v>718</v>
      </c>
      <c r="B482" s="48" t="s">
        <v>717</v>
      </c>
      <c r="C482" s="34" t="str">
        <f t="shared" si="31"/>
        <v>3410 (Kab. Pasaman Barat)</v>
      </c>
    </row>
    <row r="483" spans="1:3" s="46" customFormat="1" outlineLevel="1" x14ac:dyDescent="0.3">
      <c r="A483" s="50" t="s">
        <v>720</v>
      </c>
      <c r="B483" s="48" t="s">
        <v>719</v>
      </c>
      <c r="C483" s="34" t="str">
        <f t="shared" si="31"/>
        <v>3411 (Kab. Dharmasraya)</v>
      </c>
    </row>
    <row r="484" spans="1:3" s="46" customFormat="1" outlineLevel="1" x14ac:dyDescent="0.3">
      <c r="A484" s="50" t="s">
        <v>722</v>
      </c>
      <c r="B484" s="48" t="s">
        <v>721</v>
      </c>
      <c r="C484" s="34" t="str">
        <f t="shared" si="31"/>
        <v>3412 (Kab. Solok)</v>
      </c>
    </row>
    <row r="485" spans="1:3" s="46" customFormat="1" outlineLevel="1" x14ac:dyDescent="0.3">
      <c r="A485" s="50" t="s">
        <v>724</v>
      </c>
      <c r="B485" s="48" t="s">
        <v>723</v>
      </c>
      <c r="C485" s="34" t="str">
        <f t="shared" si="31"/>
        <v>3491 (Kota Bukittinggi)</v>
      </c>
    </row>
    <row r="486" spans="1:3" s="46" customFormat="1" outlineLevel="1" x14ac:dyDescent="0.3">
      <c r="A486" s="50" t="s">
        <v>726</v>
      </c>
      <c r="B486" s="48" t="s">
        <v>725</v>
      </c>
      <c r="C486" s="34" t="str">
        <f t="shared" si="31"/>
        <v>3492 (Kota Padang)</v>
      </c>
    </row>
    <row r="487" spans="1:3" s="46" customFormat="1" outlineLevel="1" x14ac:dyDescent="0.3">
      <c r="A487" s="50" t="s">
        <v>728</v>
      </c>
      <c r="B487" s="48" t="s">
        <v>727</v>
      </c>
      <c r="C487" s="34" t="str">
        <f t="shared" si="31"/>
        <v>3493 (Kota Sawahlunto)</v>
      </c>
    </row>
    <row r="488" spans="1:3" s="46" customFormat="1" outlineLevel="1" x14ac:dyDescent="0.3">
      <c r="A488" s="50" t="s">
        <v>730</v>
      </c>
      <c r="B488" s="48" t="s">
        <v>729</v>
      </c>
      <c r="C488" s="34" t="str">
        <f t="shared" si="31"/>
        <v>3494 (Kota Padang Panjang)</v>
      </c>
    </row>
    <row r="489" spans="1:3" s="46" customFormat="1" outlineLevel="1" x14ac:dyDescent="0.3">
      <c r="A489" s="50" t="s">
        <v>732</v>
      </c>
      <c r="B489" s="48" t="s">
        <v>731</v>
      </c>
      <c r="C489" s="34" t="str">
        <f t="shared" si="31"/>
        <v>3495 (Kota Solok)</v>
      </c>
    </row>
    <row r="490" spans="1:3" s="46" customFormat="1" outlineLevel="1" x14ac:dyDescent="0.3">
      <c r="A490" s="50" t="s">
        <v>734</v>
      </c>
      <c r="B490" s="48" t="s">
        <v>733</v>
      </c>
      <c r="C490" s="34" t="str">
        <f t="shared" si="31"/>
        <v>3496 (Kota Payakumbuh)</v>
      </c>
    </row>
    <row r="491" spans="1:3" s="46" customFormat="1" outlineLevel="1" x14ac:dyDescent="0.3">
      <c r="A491" s="50" t="s">
        <v>736</v>
      </c>
      <c r="B491" s="48" t="s">
        <v>735</v>
      </c>
      <c r="C491" s="34" t="str">
        <f t="shared" si="31"/>
        <v>3497 (Kota Pariaman)</v>
      </c>
    </row>
    <row r="492" spans="1:3" s="46" customFormat="1" outlineLevel="1" x14ac:dyDescent="0.3">
      <c r="A492" s="51"/>
      <c r="B492" s="48" t="s">
        <v>737</v>
      </c>
      <c r="C492" s="34" t="str">
        <f t="shared" si="31"/>
        <v/>
      </c>
    </row>
    <row r="493" spans="1:3" s="46" customFormat="1" outlineLevel="1" x14ac:dyDescent="0.3">
      <c r="A493" s="50" t="s">
        <v>739</v>
      </c>
      <c r="B493" s="48" t="s">
        <v>738</v>
      </c>
      <c r="C493" s="34" t="str">
        <f t="shared" si="31"/>
        <v>3501 (Kab. Kampar)</v>
      </c>
    </row>
    <row r="494" spans="1:3" s="46" customFormat="1" outlineLevel="1" x14ac:dyDescent="0.3">
      <c r="A494" s="50" t="s">
        <v>741</v>
      </c>
      <c r="B494" s="48" t="s">
        <v>740</v>
      </c>
      <c r="C494" s="34" t="str">
        <f t="shared" si="31"/>
        <v>3502 (Kab. Bengkalis)</v>
      </c>
    </row>
    <row r="495" spans="1:3" s="46" customFormat="1" outlineLevel="1" x14ac:dyDescent="0.3">
      <c r="A495" s="50" t="s">
        <v>743</v>
      </c>
      <c r="B495" s="48" t="s">
        <v>742</v>
      </c>
      <c r="C495" s="34" t="str">
        <f t="shared" si="31"/>
        <v>3504 (Kab. Indragiri Hulu)</v>
      </c>
    </row>
    <row r="496" spans="1:3" s="46" customFormat="1" outlineLevel="1" x14ac:dyDescent="0.3">
      <c r="A496" s="50" t="s">
        <v>745</v>
      </c>
      <c r="B496" s="48" t="s">
        <v>744</v>
      </c>
      <c r="C496" s="34" t="str">
        <f t="shared" si="31"/>
        <v>3505 (Kab. Indragiri Hilir)</v>
      </c>
    </row>
    <row r="497" spans="1:3" s="46" customFormat="1" outlineLevel="1" x14ac:dyDescent="0.3">
      <c r="A497" s="50" t="s">
        <v>747</v>
      </c>
      <c r="B497" s="48" t="s">
        <v>746</v>
      </c>
      <c r="C497" s="34" t="str">
        <f t="shared" si="31"/>
        <v>3508 (Kab. Rokan Hulu)</v>
      </c>
    </row>
    <row r="498" spans="1:3" s="46" customFormat="1" outlineLevel="1" x14ac:dyDescent="0.3">
      <c r="A498" s="50" t="s">
        <v>749</v>
      </c>
      <c r="B498" s="48" t="s">
        <v>748</v>
      </c>
      <c r="C498" s="34" t="str">
        <f t="shared" si="31"/>
        <v>3509 (Kab. Rokan Hilir)</v>
      </c>
    </row>
    <row r="499" spans="1:3" s="46" customFormat="1" outlineLevel="1" x14ac:dyDescent="0.3">
      <c r="A499" s="50" t="s">
        <v>751</v>
      </c>
      <c r="B499" s="48" t="s">
        <v>750</v>
      </c>
      <c r="C499" s="34" t="str">
        <f t="shared" si="31"/>
        <v>3510 (Kab. Pelalawan)</v>
      </c>
    </row>
    <row r="500" spans="1:3" s="46" customFormat="1" outlineLevel="1" x14ac:dyDescent="0.3">
      <c r="A500" s="50" t="s">
        <v>753</v>
      </c>
      <c r="B500" s="48" t="s">
        <v>752</v>
      </c>
      <c r="C500" s="34" t="str">
        <f t="shared" si="31"/>
        <v>3511 (Kab. Siak)</v>
      </c>
    </row>
    <row r="501" spans="1:3" s="46" customFormat="1" outlineLevel="1" x14ac:dyDescent="0.3">
      <c r="A501" s="50" t="s">
        <v>755</v>
      </c>
      <c r="B501" s="48" t="s">
        <v>754</v>
      </c>
      <c r="C501" s="34" t="str">
        <f t="shared" si="31"/>
        <v>3512 (Kab. Kuantan Singingi)</v>
      </c>
    </row>
    <row r="502" spans="1:3" s="46" customFormat="1" outlineLevel="1" x14ac:dyDescent="0.3">
      <c r="A502" s="50" t="s">
        <v>757</v>
      </c>
      <c r="B502" s="48" t="s">
        <v>756</v>
      </c>
      <c r="C502" s="34" t="str">
        <f t="shared" si="31"/>
        <v>3513 (Kab. Kepulauan Meranti)</v>
      </c>
    </row>
    <row r="503" spans="1:3" s="46" customFormat="1" outlineLevel="1" x14ac:dyDescent="0.3">
      <c r="A503" s="50" t="s">
        <v>759</v>
      </c>
      <c r="B503" s="48" t="s">
        <v>758</v>
      </c>
      <c r="C503" s="34" t="str">
        <f t="shared" si="31"/>
        <v>3591 (Kota Pekanbaru)</v>
      </c>
    </row>
    <row r="504" spans="1:3" s="46" customFormat="1" outlineLevel="1" x14ac:dyDescent="0.3">
      <c r="A504" s="50" t="s">
        <v>761</v>
      </c>
      <c r="B504" s="48" t="s">
        <v>760</v>
      </c>
      <c r="C504" s="34" t="str">
        <f t="shared" si="31"/>
        <v>3592 (Kota Dumai)</v>
      </c>
    </row>
    <row r="505" spans="1:3" s="46" customFormat="1" outlineLevel="1" x14ac:dyDescent="0.3">
      <c r="A505" s="51"/>
      <c r="B505" s="48" t="s">
        <v>762</v>
      </c>
      <c r="C505" s="34" t="str">
        <f t="shared" si="31"/>
        <v/>
      </c>
    </row>
    <row r="506" spans="1:3" s="46" customFormat="1" outlineLevel="1" x14ac:dyDescent="0.3">
      <c r="A506" s="50" t="s">
        <v>764</v>
      </c>
      <c r="B506" s="48" t="s">
        <v>763</v>
      </c>
      <c r="C506" s="34" t="str">
        <f t="shared" si="31"/>
        <v>3606 (Kab. Musi Banyuasin)</v>
      </c>
    </row>
    <row r="507" spans="1:3" s="46" customFormat="1" outlineLevel="1" x14ac:dyDescent="0.3">
      <c r="A507" s="50" t="s">
        <v>766</v>
      </c>
      <c r="B507" s="48" t="s">
        <v>765</v>
      </c>
      <c r="C507" s="34" t="str">
        <f t="shared" si="31"/>
        <v>3607 (Kab. Ogan Komering Ulu)</v>
      </c>
    </row>
    <row r="508" spans="1:3" s="46" customFormat="1" outlineLevel="1" x14ac:dyDescent="0.3">
      <c r="A508" s="50" t="s">
        <v>768</v>
      </c>
      <c r="B508" s="48" t="s">
        <v>767</v>
      </c>
      <c r="C508" s="34" t="str">
        <f t="shared" si="31"/>
        <v>3608 (Kab. Lematang Ilir Ogan Tengah (Muara Enim))</v>
      </c>
    </row>
    <row r="509" spans="1:3" s="46" customFormat="1" outlineLevel="1" x14ac:dyDescent="0.3">
      <c r="A509" s="50" t="s">
        <v>770</v>
      </c>
      <c r="B509" s="48" t="s">
        <v>769</v>
      </c>
      <c r="C509" s="34" t="str">
        <f t="shared" si="31"/>
        <v>3609 (Kab. Lahat)</v>
      </c>
    </row>
    <row r="510" spans="1:3" s="46" customFormat="1" outlineLevel="1" x14ac:dyDescent="0.3">
      <c r="A510" s="50" t="s">
        <v>772</v>
      </c>
      <c r="B510" s="48" t="s">
        <v>771</v>
      </c>
      <c r="C510" s="34" t="str">
        <f t="shared" si="31"/>
        <v>3610 (Kab. Musi Rawas)</v>
      </c>
    </row>
    <row r="511" spans="1:3" s="46" customFormat="1" outlineLevel="1" x14ac:dyDescent="0.3">
      <c r="A511" s="50" t="s">
        <v>774</v>
      </c>
      <c r="B511" s="48" t="s">
        <v>773</v>
      </c>
      <c r="C511" s="34" t="str">
        <f t="shared" si="31"/>
        <v>3611 (Kab. Ogan Komering Ilir)</v>
      </c>
    </row>
    <row r="512" spans="1:3" s="46" customFormat="1" outlineLevel="1" x14ac:dyDescent="0.3">
      <c r="A512" s="50" t="s">
        <v>776</v>
      </c>
      <c r="B512" s="48" t="s">
        <v>775</v>
      </c>
      <c r="C512" s="34" t="str">
        <f t="shared" si="31"/>
        <v>3613 (Kab. Banyuasin)</v>
      </c>
    </row>
    <row r="513" spans="1:3" s="46" customFormat="1" outlineLevel="1" x14ac:dyDescent="0.3">
      <c r="A513" s="50" t="s">
        <v>778</v>
      </c>
      <c r="B513" s="48" t="s">
        <v>777</v>
      </c>
      <c r="C513" s="34" t="str">
        <f t="shared" si="31"/>
        <v>3614 (Kab. Ogan Komering Ulu Selatan)</v>
      </c>
    </row>
    <row r="514" spans="1:3" s="46" customFormat="1" outlineLevel="1" x14ac:dyDescent="0.3">
      <c r="A514" s="50" t="s">
        <v>780</v>
      </c>
      <c r="B514" s="48" t="s">
        <v>779</v>
      </c>
      <c r="C514" s="34" t="str">
        <f t="shared" si="31"/>
        <v>3615 (Kab. Ogan Komering Ulu Timur)</v>
      </c>
    </row>
    <row r="515" spans="1:3" s="46" customFormat="1" outlineLevel="1" x14ac:dyDescent="0.3">
      <c r="A515" s="50" t="s">
        <v>782</v>
      </c>
      <c r="B515" s="48" t="s">
        <v>781</v>
      </c>
      <c r="C515" s="34" t="str">
        <f t="shared" si="31"/>
        <v>3616 (Kab. Ogan Ilir)</v>
      </c>
    </row>
    <row r="516" spans="1:3" s="46" customFormat="1" outlineLevel="1" x14ac:dyDescent="0.3">
      <c r="A516" s="50" t="s">
        <v>784</v>
      </c>
      <c r="B516" s="48" t="s">
        <v>783</v>
      </c>
      <c r="C516" s="34" t="str">
        <f t="shared" si="31"/>
        <v>3617 (Kab. Empat Lawang)</v>
      </c>
    </row>
    <row r="517" spans="1:3" s="46" customFormat="1" outlineLevel="1" x14ac:dyDescent="0.3">
      <c r="A517" s="50" t="s">
        <v>786</v>
      </c>
      <c r="B517" s="48" t="s">
        <v>785</v>
      </c>
      <c r="C517" s="34" t="str">
        <f t="shared" si="31"/>
        <v>3618 (Kab. Musi Rawas Utara)</v>
      </c>
    </row>
    <row r="518" spans="1:3" s="46" customFormat="1" outlineLevel="1" x14ac:dyDescent="0.3">
      <c r="A518" s="50" t="s">
        <v>788</v>
      </c>
      <c r="B518" s="48" t="s">
        <v>787</v>
      </c>
      <c r="C518" s="34" t="str">
        <f t="shared" si="31"/>
        <v>3619 (Kab. Penukal Abab Lematang Ilir)</v>
      </c>
    </row>
    <row r="519" spans="1:3" s="46" customFormat="1" outlineLevel="1" x14ac:dyDescent="0.3">
      <c r="A519" s="50" t="s">
        <v>790</v>
      </c>
      <c r="B519" s="48" t="s">
        <v>789</v>
      </c>
      <c r="C519" s="34" t="str">
        <f t="shared" si="31"/>
        <v>3691 (Kota Palembang)</v>
      </c>
    </row>
    <row r="520" spans="1:3" s="46" customFormat="1" outlineLevel="1" x14ac:dyDescent="0.3">
      <c r="A520" s="50" t="s">
        <v>792</v>
      </c>
      <c r="B520" s="48" t="s">
        <v>791</v>
      </c>
      <c r="C520" s="34" t="str">
        <f t="shared" si="31"/>
        <v>3693 (Kota Lubuklinggau)</v>
      </c>
    </row>
    <row r="521" spans="1:3" s="46" customFormat="1" outlineLevel="1" x14ac:dyDescent="0.3">
      <c r="A521" s="50" t="s">
        <v>794</v>
      </c>
      <c r="B521" s="48" t="s">
        <v>793</v>
      </c>
      <c r="C521" s="34" t="str">
        <f t="shared" si="31"/>
        <v>3694 (Kota Prabumulih)</v>
      </c>
    </row>
    <row r="522" spans="1:3" s="46" customFormat="1" outlineLevel="1" x14ac:dyDescent="0.3">
      <c r="A522" s="50" t="s">
        <v>796</v>
      </c>
      <c r="B522" s="48" t="s">
        <v>795</v>
      </c>
      <c r="C522" s="34" t="str">
        <f t="shared" si="31"/>
        <v>3697 (Kota Pagar Alam)</v>
      </c>
    </row>
    <row r="523" spans="1:3" s="46" customFormat="1" outlineLevel="1" x14ac:dyDescent="0.3">
      <c r="A523" s="51"/>
      <c r="B523" s="48" t="s">
        <v>797</v>
      </c>
      <c r="C523" s="34" t="str">
        <f t="shared" ref="C523:C586" si="32">IF(A523&lt;&gt;"",CONCATENATE(A523, " (",B523,")"),"")</f>
        <v/>
      </c>
    </row>
    <row r="524" spans="1:3" s="46" customFormat="1" outlineLevel="1" x14ac:dyDescent="0.3">
      <c r="A524" s="50" t="s">
        <v>799</v>
      </c>
      <c r="B524" s="48" t="s">
        <v>798</v>
      </c>
      <c r="C524" s="34" t="str">
        <f t="shared" si="32"/>
        <v>3701 (Kab. Bangka)</v>
      </c>
    </row>
    <row r="525" spans="1:3" s="46" customFormat="1" outlineLevel="1" x14ac:dyDescent="0.3">
      <c r="A525" s="50" t="s">
        <v>801</v>
      </c>
      <c r="B525" s="48" t="s">
        <v>800</v>
      </c>
      <c r="C525" s="34" t="str">
        <f t="shared" si="32"/>
        <v>3702 (Kab. Belitung)</v>
      </c>
    </row>
    <row r="526" spans="1:3" s="46" customFormat="1" outlineLevel="1" x14ac:dyDescent="0.3">
      <c r="A526" s="50" t="s">
        <v>803</v>
      </c>
      <c r="B526" s="48" t="s">
        <v>802</v>
      </c>
      <c r="C526" s="34" t="str">
        <f t="shared" si="32"/>
        <v>3703 (Kab. Bangka Barat)</v>
      </c>
    </row>
    <row r="527" spans="1:3" s="46" customFormat="1" outlineLevel="1" x14ac:dyDescent="0.3">
      <c r="A527" s="50" t="s">
        <v>805</v>
      </c>
      <c r="B527" s="48" t="s">
        <v>804</v>
      </c>
      <c r="C527" s="34" t="str">
        <f t="shared" si="32"/>
        <v>3704 (Kab. Bangka Selatan)</v>
      </c>
    </row>
    <row r="528" spans="1:3" s="46" customFormat="1" outlineLevel="1" x14ac:dyDescent="0.3">
      <c r="A528" s="50" t="s">
        <v>807</v>
      </c>
      <c r="B528" s="48" t="s">
        <v>806</v>
      </c>
      <c r="C528" s="34" t="str">
        <f t="shared" si="32"/>
        <v>3705 (Kab. Bangka Tengah)</v>
      </c>
    </row>
    <row r="529" spans="1:3" s="46" customFormat="1" outlineLevel="1" x14ac:dyDescent="0.3">
      <c r="A529" s="50" t="s">
        <v>809</v>
      </c>
      <c r="B529" s="48" t="s">
        <v>808</v>
      </c>
      <c r="C529" s="34" t="str">
        <f t="shared" si="32"/>
        <v>3706 (Kab. Belitung Timur)</v>
      </c>
    </row>
    <row r="530" spans="1:3" s="46" customFormat="1" outlineLevel="1" x14ac:dyDescent="0.3">
      <c r="A530" s="50" t="s">
        <v>811</v>
      </c>
      <c r="B530" s="48" t="s">
        <v>810</v>
      </c>
      <c r="C530" s="34" t="str">
        <f t="shared" si="32"/>
        <v>3707 (Kota Pangkal Pinang)</v>
      </c>
    </row>
    <row r="531" spans="1:3" s="46" customFormat="1" outlineLevel="1" x14ac:dyDescent="0.3">
      <c r="A531" s="51"/>
      <c r="B531" s="48" t="s">
        <v>812</v>
      </c>
      <c r="C531" s="34" t="str">
        <f t="shared" si="32"/>
        <v/>
      </c>
    </row>
    <row r="532" spans="1:3" s="46" customFormat="1" outlineLevel="1" x14ac:dyDescent="0.3">
      <c r="A532" s="50" t="s">
        <v>814</v>
      </c>
      <c r="B532" s="48" t="s">
        <v>813</v>
      </c>
      <c r="C532" s="34" t="str">
        <f t="shared" si="32"/>
        <v>3801 (Kab. Karimun)</v>
      </c>
    </row>
    <row r="533" spans="1:3" s="46" customFormat="1" outlineLevel="1" x14ac:dyDescent="0.3">
      <c r="A533" s="50" t="s">
        <v>816</v>
      </c>
      <c r="B533" s="48" t="s">
        <v>815</v>
      </c>
      <c r="C533" s="34" t="str">
        <f t="shared" si="32"/>
        <v>3802 (Kab. Lingga)</v>
      </c>
    </row>
    <row r="534" spans="1:3" s="46" customFormat="1" outlineLevel="1" x14ac:dyDescent="0.3">
      <c r="A534" s="50" t="s">
        <v>818</v>
      </c>
      <c r="B534" s="48" t="s">
        <v>817</v>
      </c>
      <c r="C534" s="34" t="str">
        <f t="shared" si="32"/>
        <v>3803 (Kab. Natuna)</v>
      </c>
    </row>
    <row r="535" spans="1:3" s="46" customFormat="1" outlineLevel="1" x14ac:dyDescent="0.3">
      <c r="A535" s="50" t="s">
        <v>820</v>
      </c>
      <c r="B535" s="48" t="s">
        <v>819</v>
      </c>
      <c r="C535" s="34" t="str">
        <f t="shared" si="32"/>
        <v>3804 (Kab. Bintan (d/h Kabupaten Kepulauan Riau))</v>
      </c>
    </row>
    <row r="536" spans="1:3" s="46" customFormat="1" outlineLevel="1" x14ac:dyDescent="0.3">
      <c r="A536" s="50" t="s">
        <v>822</v>
      </c>
      <c r="B536" s="48" t="s">
        <v>821</v>
      </c>
      <c r="C536" s="34" t="str">
        <f t="shared" si="32"/>
        <v>3805 (Kab. Kepulauan Anambas)</v>
      </c>
    </row>
    <row r="537" spans="1:3" s="46" customFormat="1" outlineLevel="1" x14ac:dyDescent="0.3">
      <c r="A537" s="50" t="s">
        <v>824</v>
      </c>
      <c r="B537" s="48" t="s">
        <v>823</v>
      </c>
      <c r="C537" s="34" t="str">
        <f t="shared" si="32"/>
        <v>3891 (Kota Tanjung Pinang)</v>
      </c>
    </row>
    <row r="538" spans="1:3" s="46" customFormat="1" outlineLevel="1" x14ac:dyDescent="0.3">
      <c r="A538" s="50" t="s">
        <v>826</v>
      </c>
      <c r="B538" s="48" t="s">
        <v>825</v>
      </c>
      <c r="C538" s="34" t="str">
        <f t="shared" si="32"/>
        <v>3892 (Kota Batam)</v>
      </c>
    </row>
    <row r="539" spans="1:3" s="46" customFormat="1" outlineLevel="1" x14ac:dyDescent="0.3">
      <c r="A539" s="51"/>
      <c r="B539" s="48" t="s">
        <v>827</v>
      </c>
      <c r="C539" s="34" t="str">
        <f t="shared" si="32"/>
        <v/>
      </c>
    </row>
    <row r="540" spans="1:3" s="46" customFormat="1" outlineLevel="1" x14ac:dyDescent="0.3">
      <c r="A540" s="50" t="s">
        <v>829</v>
      </c>
      <c r="B540" s="48" t="s">
        <v>828</v>
      </c>
      <c r="C540" s="34" t="str">
        <f t="shared" si="32"/>
        <v>3901 (Kab. Lampung Selatan)</v>
      </c>
    </row>
    <row r="541" spans="1:3" s="46" customFormat="1" outlineLevel="1" x14ac:dyDescent="0.3">
      <c r="A541" s="50" t="s">
        <v>831</v>
      </c>
      <c r="B541" s="48" t="s">
        <v>830</v>
      </c>
      <c r="C541" s="34" t="str">
        <f t="shared" si="32"/>
        <v>3902 (Kab. Lampung Tengah)</v>
      </c>
    </row>
    <row r="542" spans="1:3" s="46" customFormat="1" outlineLevel="1" x14ac:dyDescent="0.3">
      <c r="A542" s="50" t="s">
        <v>833</v>
      </c>
      <c r="B542" s="48" t="s">
        <v>832</v>
      </c>
      <c r="C542" s="34" t="str">
        <f t="shared" si="32"/>
        <v>3903 (Kab. Lampung Utara)</v>
      </c>
    </row>
    <row r="543" spans="1:3" s="46" customFormat="1" outlineLevel="1" x14ac:dyDescent="0.3">
      <c r="A543" s="50" t="s">
        <v>835</v>
      </c>
      <c r="B543" s="48" t="s">
        <v>834</v>
      </c>
      <c r="C543" s="34" t="str">
        <f t="shared" si="32"/>
        <v>3904 (Kab. Lampung Barat)</v>
      </c>
    </row>
    <row r="544" spans="1:3" s="46" customFormat="1" outlineLevel="1" x14ac:dyDescent="0.3">
      <c r="A544" s="50" t="s">
        <v>837</v>
      </c>
      <c r="B544" s="48" t="s">
        <v>836</v>
      </c>
      <c r="C544" s="34" t="str">
        <f t="shared" si="32"/>
        <v>3905 (Kab. Tulang Bawang)</v>
      </c>
    </row>
    <row r="545" spans="1:3" s="46" customFormat="1" outlineLevel="1" x14ac:dyDescent="0.3">
      <c r="A545" s="50" t="s">
        <v>839</v>
      </c>
      <c r="B545" s="48" t="s">
        <v>838</v>
      </c>
      <c r="C545" s="34" t="str">
        <f t="shared" si="32"/>
        <v>3906 (Kab. Tanggamus)</v>
      </c>
    </row>
    <row r="546" spans="1:3" s="46" customFormat="1" outlineLevel="1" x14ac:dyDescent="0.3">
      <c r="A546" s="50" t="s">
        <v>841</v>
      </c>
      <c r="B546" s="48" t="s">
        <v>840</v>
      </c>
      <c r="C546" s="34" t="str">
        <f t="shared" si="32"/>
        <v>3907 (Kab. Lampung Timur)</v>
      </c>
    </row>
    <row r="547" spans="1:3" s="46" customFormat="1" outlineLevel="1" x14ac:dyDescent="0.3">
      <c r="A547" s="50" t="s">
        <v>843</v>
      </c>
      <c r="B547" s="48" t="s">
        <v>842</v>
      </c>
      <c r="C547" s="34" t="str">
        <f t="shared" si="32"/>
        <v>3908 (Kab. Way Kanan)</v>
      </c>
    </row>
    <row r="548" spans="1:3" s="46" customFormat="1" outlineLevel="1" x14ac:dyDescent="0.3">
      <c r="A548" s="50" t="s">
        <v>845</v>
      </c>
      <c r="B548" s="48" t="s">
        <v>844</v>
      </c>
      <c r="C548" s="34" t="str">
        <f t="shared" si="32"/>
        <v>3909 (Kab. Pesawaran)</v>
      </c>
    </row>
    <row r="549" spans="1:3" s="46" customFormat="1" outlineLevel="1" x14ac:dyDescent="0.3">
      <c r="A549" s="50" t="s">
        <v>847</v>
      </c>
      <c r="B549" s="48" t="s">
        <v>846</v>
      </c>
      <c r="C549" s="34" t="str">
        <f t="shared" si="32"/>
        <v>3910 (Kab. Pringsewu)</v>
      </c>
    </row>
    <row r="550" spans="1:3" s="46" customFormat="1" outlineLevel="1" x14ac:dyDescent="0.3">
      <c r="A550" s="50" t="s">
        <v>849</v>
      </c>
      <c r="B550" s="48" t="s">
        <v>848</v>
      </c>
      <c r="C550" s="34" t="str">
        <f t="shared" si="32"/>
        <v>3911 (Kab. Tulang Bawang Barat)</v>
      </c>
    </row>
    <row r="551" spans="1:3" s="46" customFormat="1" outlineLevel="1" x14ac:dyDescent="0.3">
      <c r="A551" s="50" t="s">
        <v>851</v>
      </c>
      <c r="B551" s="48" t="s">
        <v>850</v>
      </c>
      <c r="C551" s="34" t="str">
        <f t="shared" si="32"/>
        <v>3912 (Kab. Mesuji)</v>
      </c>
    </row>
    <row r="552" spans="1:3" s="46" customFormat="1" outlineLevel="1" x14ac:dyDescent="0.3">
      <c r="A552" s="50" t="s">
        <v>853</v>
      </c>
      <c r="B552" s="48" t="s">
        <v>852</v>
      </c>
      <c r="C552" s="34" t="str">
        <f t="shared" si="32"/>
        <v>3913 (Kab. Pesisir Barat)</v>
      </c>
    </row>
    <row r="553" spans="1:3" s="46" customFormat="1" outlineLevel="1" x14ac:dyDescent="0.3">
      <c r="A553" s="50" t="s">
        <v>855</v>
      </c>
      <c r="B553" s="48" t="s">
        <v>854</v>
      </c>
      <c r="C553" s="34" t="str">
        <f t="shared" si="32"/>
        <v>3991 (Kota Bandar Lampung)</v>
      </c>
    </row>
    <row r="554" spans="1:3" s="46" customFormat="1" outlineLevel="1" x14ac:dyDescent="0.3">
      <c r="A554" s="50" t="s">
        <v>857</v>
      </c>
      <c r="B554" s="48" t="s">
        <v>856</v>
      </c>
      <c r="C554" s="34" t="str">
        <f t="shared" si="32"/>
        <v>3992 (Kota Metro)</v>
      </c>
    </row>
    <row r="555" spans="1:3" s="46" customFormat="1" outlineLevel="1" x14ac:dyDescent="0.3">
      <c r="A555" s="51"/>
      <c r="B555" s="48" t="s">
        <v>858</v>
      </c>
      <c r="C555" s="34" t="str">
        <f t="shared" si="32"/>
        <v/>
      </c>
    </row>
    <row r="556" spans="1:3" s="46" customFormat="1" outlineLevel="1" x14ac:dyDescent="0.3">
      <c r="A556" s="50" t="s">
        <v>860</v>
      </c>
      <c r="B556" s="48" t="s">
        <v>859</v>
      </c>
      <c r="C556" s="34" t="str">
        <f t="shared" si="32"/>
        <v>5101 (Kab. Banjar)</v>
      </c>
    </row>
    <row r="557" spans="1:3" s="46" customFormat="1" outlineLevel="1" x14ac:dyDescent="0.3">
      <c r="A557" s="50" t="s">
        <v>862</v>
      </c>
      <c r="B557" s="48" t="s">
        <v>861</v>
      </c>
      <c r="C557" s="34" t="str">
        <f t="shared" si="32"/>
        <v>5102 (Kab. Tanah Laut)</v>
      </c>
    </row>
    <row r="558" spans="1:3" s="46" customFormat="1" outlineLevel="1" x14ac:dyDescent="0.3">
      <c r="A558" s="50" t="s">
        <v>864</v>
      </c>
      <c r="B558" s="48" t="s">
        <v>863</v>
      </c>
      <c r="C558" s="34" t="str">
        <f t="shared" si="32"/>
        <v>5103 (Kab. Tapin)</v>
      </c>
    </row>
    <row r="559" spans="1:3" s="46" customFormat="1" outlineLevel="1" x14ac:dyDescent="0.3">
      <c r="A559" s="50" t="s">
        <v>866</v>
      </c>
      <c r="B559" s="48" t="s">
        <v>865</v>
      </c>
      <c r="C559" s="34" t="str">
        <f t="shared" si="32"/>
        <v>5104 (Kab. Hulu Sungai Selatan)</v>
      </c>
    </row>
    <row r="560" spans="1:3" s="46" customFormat="1" outlineLevel="1" x14ac:dyDescent="0.3">
      <c r="A560" s="50" t="s">
        <v>868</v>
      </c>
      <c r="B560" s="48" t="s">
        <v>867</v>
      </c>
      <c r="C560" s="34" t="str">
        <f t="shared" si="32"/>
        <v>5105 (Kab. Hulu Sungai Tengah)</v>
      </c>
    </row>
    <row r="561" spans="1:3" s="46" customFormat="1" outlineLevel="1" x14ac:dyDescent="0.3">
      <c r="A561" s="50" t="s">
        <v>870</v>
      </c>
      <c r="B561" s="48" t="s">
        <v>869</v>
      </c>
      <c r="C561" s="34" t="str">
        <f t="shared" si="32"/>
        <v>5106 (Kab. Hulu Sungai Utara)</v>
      </c>
    </row>
    <row r="562" spans="1:3" s="46" customFormat="1" outlineLevel="1" x14ac:dyDescent="0.3">
      <c r="A562" s="50" t="s">
        <v>872</v>
      </c>
      <c r="B562" s="48" t="s">
        <v>871</v>
      </c>
      <c r="C562" s="34" t="str">
        <f t="shared" si="32"/>
        <v>5107 (Kab. Barito Kuala)</v>
      </c>
    </row>
    <row r="563" spans="1:3" s="46" customFormat="1" outlineLevel="1" x14ac:dyDescent="0.3">
      <c r="A563" s="50" t="s">
        <v>874</v>
      </c>
      <c r="B563" s="48" t="s">
        <v>873</v>
      </c>
      <c r="C563" s="34" t="str">
        <f t="shared" si="32"/>
        <v>5108 (Kab. Kota Baru)</v>
      </c>
    </row>
    <row r="564" spans="1:3" s="46" customFormat="1" outlineLevel="1" x14ac:dyDescent="0.3">
      <c r="A564" s="50" t="s">
        <v>876</v>
      </c>
      <c r="B564" s="48" t="s">
        <v>875</v>
      </c>
      <c r="C564" s="34" t="str">
        <f t="shared" si="32"/>
        <v>5109 (Kab. Tabalong)</v>
      </c>
    </row>
    <row r="565" spans="1:3" s="46" customFormat="1" outlineLevel="1" x14ac:dyDescent="0.3">
      <c r="A565" s="50" t="s">
        <v>878</v>
      </c>
      <c r="B565" s="48" t="s">
        <v>877</v>
      </c>
      <c r="C565" s="34" t="str">
        <f t="shared" si="32"/>
        <v>5110 (Kab. Tanah Bumbu)</v>
      </c>
    </row>
    <row r="566" spans="1:3" s="46" customFormat="1" outlineLevel="1" x14ac:dyDescent="0.3">
      <c r="A566" s="50" t="s">
        <v>880</v>
      </c>
      <c r="B566" s="48" t="s">
        <v>879</v>
      </c>
      <c r="C566" s="34" t="str">
        <f t="shared" si="32"/>
        <v>5111 (Kab. Balangan)</v>
      </c>
    </row>
    <row r="567" spans="1:3" s="46" customFormat="1" outlineLevel="1" x14ac:dyDescent="0.3">
      <c r="A567" s="50" t="s">
        <v>882</v>
      </c>
      <c r="B567" s="48" t="s">
        <v>881</v>
      </c>
      <c r="C567" s="34" t="str">
        <f t="shared" si="32"/>
        <v>5191 (Kota Banjarmasin)</v>
      </c>
    </row>
    <row r="568" spans="1:3" s="46" customFormat="1" outlineLevel="1" x14ac:dyDescent="0.3">
      <c r="A568" s="50" t="s">
        <v>884</v>
      </c>
      <c r="B568" s="48" t="s">
        <v>883</v>
      </c>
      <c r="C568" s="34" t="str">
        <f t="shared" si="32"/>
        <v>5192 (Kota Banjarbaru)</v>
      </c>
    </row>
    <row r="569" spans="1:3" s="46" customFormat="1" outlineLevel="1" x14ac:dyDescent="0.3">
      <c r="A569" s="51"/>
      <c r="B569" s="48" t="s">
        <v>885</v>
      </c>
      <c r="C569" s="34" t="str">
        <f t="shared" si="32"/>
        <v/>
      </c>
    </row>
    <row r="570" spans="1:3" s="46" customFormat="1" outlineLevel="1" x14ac:dyDescent="0.3">
      <c r="A570" s="50" t="s">
        <v>887</v>
      </c>
      <c r="B570" s="48" t="s">
        <v>886</v>
      </c>
      <c r="C570" s="34" t="str">
        <f t="shared" si="32"/>
        <v>5301 (Kab. Pontianak)</v>
      </c>
    </row>
    <row r="571" spans="1:3" s="46" customFormat="1" outlineLevel="1" x14ac:dyDescent="0.3">
      <c r="A571" s="50" t="s">
        <v>889</v>
      </c>
      <c r="B571" s="48" t="s">
        <v>888</v>
      </c>
      <c r="C571" s="34" t="str">
        <f t="shared" si="32"/>
        <v>5302 (Kab. Sambas)</v>
      </c>
    </row>
    <row r="572" spans="1:3" s="46" customFormat="1" outlineLevel="1" x14ac:dyDescent="0.3">
      <c r="A572" s="50" t="s">
        <v>891</v>
      </c>
      <c r="B572" s="48" t="s">
        <v>890</v>
      </c>
      <c r="C572" s="34" t="str">
        <f t="shared" si="32"/>
        <v>5303 (Kab. Ketapang)</v>
      </c>
    </row>
    <row r="573" spans="1:3" s="46" customFormat="1" outlineLevel="1" x14ac:dyDescent="0.3">
      <c r="A573" s="50" t="s">
        <v>893</v>
      </c>
      <c r="B573" s="48" t="s">
        <v>892</v>
      </c>
      <c r="C573" s="34" t="str">
        <f t="shared" si="32"/>
        <v>5304 (Kab. Sanggau)</v>
      </c>
    </row>
    <row r="574" spans="1:3" s="46" customFormat="1" outlineLevel="1" x14ac:dyDescent="0.3">
      <c r="A574" s="50" t="s">
        <v>895</v>
      </c>
      <c r="B574" s="48" t="s">
        <v>894</v>
      </c>
      <c r="C574" s="34" t="str">
        <f t="shared" si="32"/>
        <v>5305 (Kab. Sintang)</v>
      </c>
    </row>
    <row r="575" spans="1:3" s="46" customFormat="1" outlineLevel="1" x14ac:dyDescent="0.3">
      <c r="A575" s="50" t="s">
        <v>897</v>
      </c>
      <c r="B575" s="48" t="s">
        <v>896</v>
      </c>
      <c r="C575" s="34" t="str">
        <f t="shared" si="32"/>
        <v>5306 (Kab. Kapuas Hulu)</v>
      </c>
    </row>
    <row r="576" spans="1:3" s="46" customFormat="1" outlineLevel="1" x14ac:dyDescent="0.3">
      <c r="A576" s="50" t="s">
        <v>899</v>
      </c>
      <c r="B576" s="48" t="s">
        <v>898</v>
      </c>
      <c r="C576" s="34" t="str">
        <f t="shared" si="32"/>
        <v>5307 (Kab. Bengkayang)</v>
      </c>
    </row>
    <row r="577" spans="1:3" s="46" customFormat="1" outlineLevel="1" x14ac:dyDescent="0.3">
      <c r="A577" s="50" t="s">
        <v>901</v>
      </c>
      <c r="B577" s="48" t="s">
        <v>900</v>
      </c>
      <c r="C577" s="34" t="str">
        <f t="shared" si="32"/>
        <v>5308 (Kab. Landak)</v>
      </c>
    </row>
    <row r="578" spans="1:3" s="46" customFormat="1" outlineLevel="1" x14ac:dyDescent="0.3">
      <c r="A578" s="50" t="s">
        <v>903</v>
      </c>
      <c r="B578" s="48" t="s">
        <v>902</v>
      </c>
      <c r="C578" s="34" t="str">
        <f t="shared" si="32"/>
        <v>5309 (Kab. Sekadau)</v>
      </c>
    </row>
    <row r="579" spans="1:3" s="46" customFormat="1" outlineLevel="1" x14ac:dyDescent="0.3">
      <c r="A579" s="50" t="s">
        <v>905</v>
      </c>
      <c r="B579" s="48" t="s">
        <v>904</v>
      </c>
      <c r="C579" s="34" t="str">
        <f t="shared" si="32"/>
        <v>5310 (Kab. Melawi)</v>
      </c>
    </row>
    <row r="580" spans="1:3" s="46" customFormat="1" outlineLevel="1" x14ac:dyDescent="0.3">
      <c r="A580" s="50" t="s">
        <v>907</v>
      </c>
      <c r="B580" s="48" t="s">
        <v>906</v>
      </c>
      <c r="C580" s="34" t="str">
        <f t="shared" si="32"/>
        <v>5311 (Kab. Kayong Utara)</v>
      </c>
    </row>
    <row r="581" spans="1:3" s="46" customFormat="1" outlineLevel="1" x14ac:dyDescent="0.3">
      <c r="A581" s="50" t="s">
        <v>909</v>
      </c>
      <c r="B581" s="48" t="s">
        <v>908</v>
      </c>
      <c r="C581" s="34" t="str">
        <f t="shared" si="32"/>
        <v>5312 (Kab. Kubu Raya)</v>
      </c>
    </row>
    <row r="582" spans="1:3" s="46" customFormat="1" outlineLevel="1" x14ac:dyDescent="0.3">
      <c r="A582" s="50" t="s">
        <v>911</v>
      </c>
      <c r="B582" s="48" t="s">
        <v>910</v>
      </c>
      <c r="C582" s="34" t="str">
        <f t="shared" si="32"/>
        <v>5391 (Kota Pontianak)</v>
      </c>
    </row>
    <row r="583" spans="1:3" s="46" customFormat="1" outlineLevel="1" x14ac:dyDescent="0.3">
      <c r="A583" s="50" t="s">
        <v>913</v>
      </c>
      <c r="B583" s="48" t="s">
        <v>912</v>
      </c>
      <c r="C583" s="34" t="str">
        <f t="shared" si="32"/>
        <v>5392 (Kota Singkawang)</v>
      </c>
    </row>
    <row r="584" spans="1:3" s="46" customFormat="1" outlineLevel="1" x14ac:dyDescent="0.3">
      <c r="A584" s="51"/>
      <c r="B584" s="48" t="s">
        <v>914</v>
      </c>
      <c r="C584" s="34" t="str">
        <f t="shared" si="32"/>
        <v/>
      </c>
    </row>
    <row r="585" spans="1:3" s="46" customFormat="1" outlineLevel="1" x14ac:dyDescent="0.3">
      <c r="A585" s="50" t="s">
        <v>916</v>
      </c>
      <c r="B585" s="48" t="s">
        <v>915</v>
      </c>
      <c r="C585" s="34" t="str">
        <f t="shared" si="32"/>
        <v>5401 (Kab. Kutai Kartanegara)</v>
      </c>
    </row>
    <row r="586" spans="1:3" s="46" customFormat="1" outlineLevel="1" x14ac:dyDescent="0.3">
      <c r="A586" s="50" t="s">
        <v>918</v>
      </c>
      <c r="B586" s="48" t="s">
        <v>917</v>
      </c>
      <c r="C586" s="34" t="str">
        <f t="shared" si="32"/>
        <v>5402 (Kab. Berau)</v>
      </c>
    </row>
    <row r="587" spans="1:3" s="46" customFormat="1" outlineLevel="1" x14ac:dyDescent="0.3">
      <c r="A587" s="50" t="s">
        <v>920</v>
      </c>
      <c r="B587" s="48" t="s">
        <v>919</v>
      </c>
      <c r="C587" s="34" t="str">
        <f t="shared" ref="C587:C650" si="33">IF(A587&lt;&gt;"",CONCATENATE(A587, " (",B587,")"),"")</f>
        <v>5403 (Kab. Paser)</v>
      </c>
    </row>
    <row r="588" spans="1:3" s="46" customFormat="1" outlineLevel="1" x14ac:dyDescent="0.3">
      <c r="A588" s="50" t="s">
        <v>922</v>
      </c>
      <c r="B588" s="48" t="s">
        <v>921</v>
      </c>
      <c r="C588" s="34" t="str">
        <f t="shared" si="33"/>
        <v>5405 (Kab. Kutai Barat)</v>
      </c>
    </row>
    <row r="589" spans="1:3" s="46" customFormat="1" outlineLevel="1" x14ac:dyDescent="0.3">
      <c r="A589" s="50" t="s">
        <v>924</v>
      </c>
      <c r="B589" s="48" t="s">
        <v>923</v>
      </c>
      <c r="C589" s="34" t="str">
        <f t="shared" si="33"/>
        <v>5406 (Kab. Kutai Timur)</v>
      </c>
    </row>
    <row r="590" spans="1:3" s="46" customFormat="1" outlineLevel="1" x14ac:dyDescent="0.3">
      <c r="A590" s="50" t="s">
        <v>926</v>
      </c>
      <c r="B590" s="48" t="s">
        <v>925</v>
      </c>
      <c r="C590" s="34" t="str">
        <f t="shared" si="33"/>
        <v>5411 (Kab. Penajam Paser Utara)</v>
      </c>
    </row>
    <row r="591" spans="1:3" s="46" customFormat="1" outlineLevel="1" x14ac:dyDescent="0.3">
      <c r="A591" s="50" t="s">
        <v>928</v>
      </c>
      <c r="B591" s="48" t="s">
        <v>927</v>
      </c>
      <c r="C591" s="34" t="str">
        <f t="shared" si="33"/>
        <v>5413 (Kab. Mahakam Ulu)</v>
      </c>
    </row>
    <row r="592" spans="1:3" s="46" customFormat="1" outlineLevel="1" x14ac:dyDescent="0.3">
      <c r="A592" s="50" t="s">
        <v>930</v>
      </c>
      <c r="B592" s="48" t="s">
        <v>929</v>
      </c>
      <c r="C592" s="34" t="str">
        <f t="shared" si="33"/>
        <v>5491 (Kota Samarinda)</v>
      </c>
    </row>
    <row r="593" spans="1:3" s="46" customFormat="1" outlineLevel="1" x14ac:dyDescent="0.3">
      <c r="A593" s="50" t="s">
        <v>932</v>
      </c>
      <c r="B593" s="48" t="s">
        <v>931</v>
      </c>
      <c r="C593" s="34" t="str">
        <f t="shared" si="33"/>
        <v>5492 (Kota Balikpapan)</v>
      </c>
    </row>
    <row r="594" spans="1:3" s="46" customFormat="1" outlineLevel="1" x14ac:dyDescent="0.3">
      <c r="A594" s="50" t="s">
        <v>934</v>
      </c>
      <c r="B594" s="48" t="s">
        <v>933</v>
      </c>
      <c r="C594" s="34" t="str">
        <f t="shared" si="33"/>
        <v>5494 (Kota Bontang)</v>
      </c>
    </row>
    <row r="595" spans="1:3" s="46" customFormat="1" outlineLevel="1" x14ac:dyDescent="0.3">
      <c r="A595" s="51"/>
      <c r="B595" s="48" t="s">
        <v>935</v>
      </c>
      <c r="C595" s="34" t="str">
        <f t="shared" si="33"/>
        <v/>
      </c>
    </row>
    <row r="596" spans="1:3" s="46" customFormat="1" outlineLevel="1" x14ac:dyDescent="0.3">
      <c r="A596" s="50" t="s">
        <v>937</v>
      </c>
      <c r="B596" s="48" t="s">
        <v>936</v>
      </c>
      <c r="C596" s="34" t="str">
        <f t="shared" si="33"/>
        <v>5404 (Kab. Bulungan)</v>
      </c>
    </row>
    <row r="597" spans="1:3" s="46" customFormat="1" outlineLevel="1" x14ac:dyDescent="0.3">
      <c r="A597" s="50" t="s">
        <v>939</v>
      </c>
      <c r="B597" s="48" t="s">
        <v>938</v>
      </c>
      <c r="C597" s="34" t="str">
        <f t="shared" si="33"/>
        <v>5409 (Kab. Nunukan)</v>
      </c>
    </row>
    <row r="598" spans="1:3" s="46" customFormat="1" outlineLevel="1" x14ac:dyDescent="0.3">
      <c r="A598" s="50" t="s">
        <v>941</v>
      </c>
      <c r="B598" s="48" t="s">
        <v>940</v>
      </c>
      <c r="C598" s="34" t="str">
        <f t="shared" si="33"/>
        <v>5410 (Kab. Malinau)</v>
      </c>
    </row>
    <row r="599" spans="1:3" s="46" customFormat="1" outlineLevel="1" x14ac:dyDescent="0.3">
      <c r="A599" s="50" t="s">
        <v>943</v>
      </c>
      <c r="B599" s="48" t="s">
        <v>942</v>
      </c>
      <c r="C599" s="34" t="str">
        <f t="shared" si="33"/>
        <v>5412 (Kab. Tana Tidung)</v>
      </c>
    </row>
    <row r="600" spans="1:3" s="46" customFormat="1" outlineLevel="1" x14ac:dyDescent="0.3">
      <c r="A600" s="50" t="s">
        <v>945</v>
      </c>
      <c r="B600" s="48" t="s">
        <v>944</v>
      </c>
      <c r="C600" s="34" t="str">
        <f t="shared" si="33"/>
        <v>5493 (Kota Tarakan)</v>
      </c>
    </row>
    <row r="601" spans="1:3" s="46" customFormat="1" outlineLevel="1" x14ac:dyDescent="0.3">
      <c r="A601" s="51"/>
      <c r="B601" s="48" t="s">
        <v>946</v>
      </c>
      <c r="C601" s="34" t="str">
        <f t="shared" si="33"/>
        <v/>
      </c>
    </row>
    <row r="602" spans="1:3" s="46" customFormat="1" outlineLevel="1" x14ac:dyDescent="0.3">
      <c r="A602" s="50" t="s">
        <v>948</v>
      </c>
      <c r="B602" s="48" t="s">
        <v>947</v>
      </c>
      <c r="C602" s="34" t="str">
        <f t="shared" si="33"/>
        <v>5801 (Kab. Kapuas)</v>
      </c>
    </row>
    <row r="603" spans="1:3" s="46" customFormat="1" outlineLevel="1" x14ac:dyDescent="0.3">
      <c r="A603" s="50" t="s">
        <v>950</v>
      </c>
      <c r="B603" s="48" t="s">
        <v>949</v>
      </c>
      <c r="C603" s="34" t="str">
        <f t="shared" si="33"/>
        <v>5802 (Kab. Kotawaringin Barat)</v>
      </c>
    </row>
    <row r="604" spans="1:3" s="46" customFormat="1" outlineLevel="1" x14ac:dyDescent="0.3">
      <c r="A604" s="50" t="s">
        <v>952</v>
      </c>
      <c r="B604" s="48" t="s">
        <v>951</v>
      </c>
      <c r="C604" s="34" t="str">
        <f t="shared" si="33"/>
        <v>5803 (Kab. Kotawaringin Timur)</v>
      </c>
    </row>
    <row r="605" spans="1:3" s="46" customFormat="1" outlineLevel="1" x14ac:dyDescent="0.3">
      <c r="A605" s="50" t="s">
        <v>954</v>
      </c>
      <c r="B605" s="48" t="s">
        <v>953</v>
      </c>
      <c r="C605" s="34" t="str">
        <f t="shared" si="33"/>
        <v>5804 (Kab. Murung Raya)</v>
      </c>
    </row>
    <row r="606" spans="1:3" s="46" customFormat="1" outlineLevel="1" x14ac:dyDescent="0.3">
      <c r="A606" s="50" t="s">
        <v>956</v>
      </c>
      <c r="B606" s="48" t="s">
        <v>955</v>
      </c>
      <c r="C606" s="34" t="str">
        <f t="shared" si="33"/>
        <v>5805 (Kab. Barito Timur)</v>
      </c>
    </row>
    <row r="607" spans="1:3" s="46" customFormat="1" outlineLevel="1" x14ac:dyDescent="0.3">
      <c r="A607" s="50" t="s">
        <v>958</v>
      </c>
      <c r="B607" s="48" t="s">
        <v>957</v>
      </c>
      <c r="C607" s="34" t="str">
        <f t="shared" si="33"/>
        <v>5806 (Kab. Barito Selatan)</v>
      </c>
    </row>
    <row r="608" spans="1:3" s="46" customFormat="1" outlineLevel="1" x14ac:dyDescent="0.3">
      <c r="A608" s="50" t="s">
        <v>960</v>
      </c>
      <c r="B608" s="48" t="s">
        <v>959</v>
      </c>
      <c r="C608" s="34" t="str">
        <f t="shared" si="33"/>
        <v>5807 (Kab. Gunung Mas)</v>
      </c>
    </row>
    <row r="609" spans="1:3" s="46" customFormat="1" outlineLevel="1" x14ac:dyDescent="0.3">
      <c r="A609" s="50" t="s">
        <v>962</v>
      </c>
      <c r="B609" s="48" t="s">
        <v>961</v>
      </c>
      <c r="C609" s="34" t="str">
        <f t="shared" si="33"/>
        <v>5808 (Kab. Barito Utara)</v>
      </c>
    </row>
    <row r="610" spans="1:3" s="46" customFormat="1" outlineLevel="1" x14ac:dyDescent="0.3">
      <c r="A610" s="50" t="s">
        <v>964</v>
      </c>
      <c r="B610" s="48" t="s">
        <v>963</v>
      </c>
      <c r="C610" s="34" t="str">
        <f t="shared" si="33"/>
        <v>5809 (Kab. Pulang Pisau)</v>
      </c>
    </row>
    <row r="611" spans="1:3" s="46" customFormat="1" outlineLevel="1" x14ac:dyDescent="0.3">
      <c r="A611" s="50" t="s">
        <v>966</v>
      </c>
      <c r="B611" s="48" t="s">
        <v>965</v>
      </c>
      <c r="C611" s="34" t="str">
        <f t="shared" si="33"/>
        <v>5810 (Kab. Seruyan)</v>
      </c>
    </row>
    <row r="612" spans="1:3" s="46" customFormat="1" outlineLevel="1" x14ac:dyDescent="0.3">
      <c r="A612" s="50" t="s">
        <v>968</v>
      </c>
      <c r="B612" s="48" t="s">
        <v>967</v>
      </c>
      <c r="C612" s="34" t="str">
        <f t="shared" si="33"/>
        <v>5811 (Kab. Katingan)</v>
      </c>
    </row>
    <row r="613" spans="1:3" s="46" customFormat="1" outlineLevel="1" x14ac:dyDescent="0.3">
      <c r="A613" s="50" t="s">
        <v>970</v>
      </c>
      <c r="B613" s="48" t="s">
        <v>969</v>
      </c>
      <c r="C613" s="34" t="str">
        <f t="shared" si="33"/>
        <v>5812 (Kab. Sukamara)</v>
      </c>
    </row>
    <row r="614" spans="1:3" s="46" customFormat="1" outlineLevel="1" x14ac:dyDescent="0.3">
      <c r="A614" s="50" t="s">
        <v>972</v>
      </c>
      <c r="B614" s="48" t="s">
        <v>971</v>
      </c>
      <c r="C614" s="34" t="str">
        <f t="shared" si="33"/>
        <v>5813 (Kab. Lamandau)</v>
      </c>
    </row>
    <row r="615" spans="1:3" s="46" customFormat="1" outlineLevel="1" x14ac:dyDescent="0.3">
      <c r="A615" s="50" t="s">
        <v>974</v>
      </c>
      <c r="B615" s="48" t="s">
        <v>973</v>
      </c>
      <c r="C615" s="34" t="str">
        <f t="shared" si="33"/>
        <v>5892 (Kota Palangkaraya)</v>
      </c>
    </row>
    <row r="616" spans="1:3" s="46" customFormat="1" outlineLevel="1" x14ac:dyDescent="0.3">
      <c r="A616" s="51"/>
      <c r="B616" s="48" t="s">
        <v>975</v>
      </c>
      <c r="C616" s="34" t="str">
        <f t="shared" si="33"/>
        <v/>
      </c>
    </row>
    <row r="617" spans="1:3" s="46" customFormat="1" outlineLevel="1" x14ac:dyDescent="0.3">
      <c r="A617" s="50" t="s">
        <v>977</v>
      </c>
      <c r="B617" s="48" t="s">
        <v>976</v>
      </c>
      <c r="C617" s="34" t="str">
        <f t="shared" si="33"/>
        <v>6001 (Kab. Donggala)</v>
      </c>
    </row>
    <row r="618" spans="1:3" s="46" customFormat="1" outlineLevel="1" x14ac:dyDescent="0.3">
      <c r="A618" s="50" t="s">
        <v>979</v>
      </c>
      <c r="B618" s="48" t="s">
        <v>978</v>
      </c>
      <c r="C618" s="34" t="str">
        <f t="shared" si="33"/>
        <v>6002 (Kab. Poso)</v>
      </c>
    </row>
    <row r="619" spans="1:3" s="46" customFormat="1" outlineLevel="1" x14ac:dyDescent="0.3">
      <c r="A619" s="50" t="s">
        <v>981</v>
      </c>
      <c r="B619" s="48" t="s">
        <v>980</v>
      </c>
      <c r="C619" s="34" t="str">
        <f t="shared" si="33"/>
        <v>6003 (Kab. Banggai)</v>
      </c>
    </row>
    <row r="620" spans="1:3" s="46" customFormat="1" outlineLevel="1" x14ac:dyDescent="0.3">
      <c r="A620" s="50" t="s">
        <v>983</v>
      </c>
      <c r="B620" s="48" t="s">
        <v>982</v>
      </c>
      <c r="C620" s="34" t="str">
        <f t="shared" si="33"/>
        <v>6004 (Kab. Toli-Toli)</v>
      </c>
    </row>
    <row r="621" spans="1:3" s="46" customFormat="1" outlineLevel="1" x14ac:dyDescent="0.3">
      <c r="A621" s="50" t="s">
        <v>985</v>
      </c>
      <c r="B621" s="48" t="s">
        <v>984</v>
      </c>
      <c r="C621" s="34" t="str">
        <f t="shared" si="33"/>
        <v>6005 (Kab. Banggai Kepulauan)</v>
      </c>
    </row>
    <row r="622" spans="1:3" s="46" customFormat="1" outlineLevel="1" x14ac:dyDescent="0.3">
      <c r="A622" s="50" t="s">
        <v>987</v>
      </c>
      <c r="B622" s="48" t="s">
        <v>986</v>
      </c>
      <c r="C622" s="34" t="str">
        <f t="shared" si="33"/>
        <v>6006 (Kab. Morowali)</v>
      </c>
    </row>
    <row r="623" spans="1:3" s="46" customFormat="1" outlineLevel="1" x14ac:dyDescent="0.3">
      <c r="A623" s="50" t="s">
        <v>989</v>
      </c>
      <c r="B623" s="48" t="s">
        <v>988</v>
      </c>
      <c r="C623" s="34" t="str">
        <f t="shared" si="33"/>
        <v>6007 (Kab. Buol)</v>
      </c>
    </row>
    <row r="624" spans="1:3" s="46" customFormat="1" outlineLevel="1" x14ac:dyDescent="0.3">
      <c r="A624" s="50" t="s">
        <v>991</v>
      </c>
      <c r="B624" s="48" t="s">
        <v>990</v>
      </c>
      <c r="C624" s="34" t="str">
        <f t="shared" si="33"/>
        <v>6008 (Kab. Tojo Una-Una)</v>
      </c>
    </row>
    <row r="625" spans="1:3" s="46" customFormat="1" outlineLevel="1" x14ac:dyDescent="0.3">
      <c r="A625" s="50" t="s">
        <v>993</v>
      </c>
      <c r="B625" s="48" t="s">
        <v>992</v>
      </c>
      <c r="C625" s="34" t="str">
        <f t="shared" si="33"/>
        <v>6009 (Kab. Parigi Moutong)</v>
      </c>
    </row>
    <row r="626" spans="1:3" s="46" customFormat="1" outlineLevel="1" x14ac:dyDescent="0.3">
      <c r="A626" s="50" t="s">
        <v>995</v>
      </c>
      <c r="B626" s="48" t="s">
        <v>994</v>
      </c>
      <c r="C626" s="34" t="str">
        <f t="shared" si="33"/>
        <v>6010 (Kab. Sigi)</v>
      </c>
    </row>
    <row r="627" spans="1:3" s="46" customFormat="1" outlineLevel="1" x14ac:dyDescent="0.3">
      <c r="A627" s="50" t="s">
        <v>997</v>
      </c>
      <c r="B627" s="48" t="s">
        <v>996</v>
      </c>
      <c r="C627" s="34" t="str">
        <f t="shared" si="33"/>
        <v>6011 (Kab. Banggai Laut)</v>
      </c>
    </row>
    <row r="628" spans="1:3" s="46" customFormat="1" outlineLevel="1" x14ac:dyDescent="0.3">
      <c r="A628" s="50" t="s">
        <v>999</v>
      </c>
      <c r="B628" s="48" t="s">
        <v>998</v>
      </c>
      <c r="C628" s="34" t="str">
        <f t="shared" si="33"/>
        <v>6012 (Kab. Morowali Utara)</v>
      </c>
    </row>
    <row r="629" spans="1:3" s="46" customFormat="1" outlineLevel="1" x14ac:dyDescent="0.3">
      <c r="A629" s="50" t="s">
        <v>1001</v>
      </c>
      <c r="B629" s="48" t="s">
        <v>1000</v>
      </c>
      <c r="C629" s="34" t="str">
        <f t="shared" si="33"/>
        <v>6091 (Kota Palu)</v>
      </c>
    </row>
    <row r="630" spans="1:3" s="46" customFormat="1" outlineLevel="1" x14ac:dyDescent="0.3">
      <c r="A630" s="51"/>
      <c r="B630" s="48" t="s">
        <v>1002</v>
      </c>
      <c r="C630" s="34" t="str">
        <f t="shared" si="33"/>
        <v/>
      </c>
    </row>
    <row r="631" spans="1:3" s="46" customFormat="1" outlineLevel="1" x14ac:dyDescent="0.3">
      <c r="A631" s="50" t="s">
        <v>1004</v>
      </c>
      <c r="B631" s="48" t="s">
        <v>1003</v>
      </c>
      <c r="C631" s="34" t="str">
        <f t="shared" si="33"/>
        <v>6101 (Kab. Pinrang)</v>
      </c>
    </row>
    <row r="632" spans="1:3" s="46" customFormat="1" outlineLevel="1" x14ac:dyDescent="0.3">
      <c r="A632" s="50" t="s">
        <v>1006</v>
      </c>
      <c r="B632" s="48" t="s">
        <v>1005</v>
      </c>
      <c r="C632" s="34" t="str">
        <f t="shared" si="33"/>
        <v>6102 (Kab. Gowa)</v>
      </c>
    </row>
    <row r="633" spans="1:3" s="46" customFormat="1" outlineLevel="1" x14ac:dyDescent="0.3">
      <c r="A633" s="50" t="s">
        <v>1008</v>
      </c>
      <c r="B633" s="48" t="s">
        <v>1007</v>
      </c>
      <c r="C633" s="34" t="str">
        <f t="shared" si="33"/>
        <v>6103 (Kab. Wajo)</v>
      </c>
    </row>
    <row r="634" spans="1:3" s="46" customFormat="1" outlineLevel="1" x14ac:dyDescent="0.3">
      <c r="A634" s="50" t="s">
        <v>1010</v>
      </c>
      <c r="B634" s="48" t="s">
        <v>1009</v>
      </c>
      <c r="C634" s="34" t="str">
        <f t="shared" si="33"/>
        <v>6105 (Kab. Bone)</v>
      </c>
    </row>
    <row r="635" spans="1:3" s="46" customFormat="1" outlineLevel="1" x14ac:dyDescent="0.3">
      <c r="A635" s="50" t="s">
        <v>1012</v>
      </c>
      <c r="B635" s="48" t="s">
        <v>1011</v>
      </c>
      <c r="C635" s="34" t="str">
        <f t="shared" si="33"/>
        <v>6106 (Kab. Tana Toraja)</v>
      </c>
    </row>
    <row r="636" spans="1:3" s="46" customFormat="1" outlineLevel="1" x14ac:dyDescent="0.3">
      <c r="A636" s="50" t="s">
        <v>1014</v>
      </c>
      <c r="B636" s="48" t="s">
        <v>1013</v>
      </c>
      <c r="C636" s="34" t="str">
        <f t="shared" si="33"/>
        <v>6107 (Kab. Maros)</v>
      </c>
    </row>
    <row r="637" spans="1:3" s="46" customFormat="1" outlineLevel="1" x14ac:dyDescent="0.3">
      <c r="A637" s="50" t="s">
        <v>1016</v>
      </c>
      <c r="B637" s="48" t="s">
        <v>1015</v>
      </c>
      <c r="C637" s="34" t="str">
        <f t="shared" si="33"/>
        <v>6109 (Kab. Luwu)</v>
      </c>
    </row>
    <row r="638" spans="1:3" s="46" customFormat="1" outlineLevel="1" x14ac:dyDescent="0.3">
      <c r="A638" s="50" t="s">
        <v>1018</v>
      </c>
      <c r="B638" s="48" t="s">
        <v>1017</v>
      </c>
      <c r="C638" s="34" t="str">
        <f t="shared" si="33"/>
        <v>6110 (Kab. Sinjai)</v>
      </c>
    </row>
    <row r="639" spans="1:3" s="46" customFormat="1" outlineLevel="1" x14ac:dyDescent="0.3">
      <c r="A639" s="50" t="s">
        <v>1020</v>
      </c>
      <c r="B639" s="48" t="s">
        <v>1019</v>
      </c>
      <c r="C639" s="34" t="str">
        <f t="shared" si="33"/>
        <v>6111 (Kab. Bulukumba)</v>
      </c>
    </row>
    <row r="640" spans="1:3" s="46" customFormat="1" outlineLevel="1" x14ac:dyDescent="0.3">
      <c r="A640" s="50" t="s">
        <v>1022</v>
      </c>
      <c r="B640" s="48" t="s">
        <v>1021</v>
      </c>
      <c r="C640" s="34" t="str">
        <f t="shared" si="33"/>
        <v>6112 (Kab. Bantaeng)</v>
      </c>
    </row>
    <row r="641" spans="1:3" s="46" customFormat="1" outlineLevel="1" x14ac:dyDescent="0.3">
      <c r="A641" s="50" t="s">
        <v>1024</v>
      </c>
      <c r="B641" s="48" t="s">
        <v>1023</v>
      </c>
      <c r="C641" s="34" t="str">
        <f t="shared" si="33"/>
        <v>6113 (Kab. Jeneponto)</v>
      </c>
    </row>
    <row r="642" spans="1:3" s="46" customFormat="1" outlineLevel="1" x14ac:dyDescent="0.3">
      <c r="A642" s="50" t="s">
        <v>1026</v>
      </c>
      <c r="B642" s="48" t="s">
        <v>1025</v>
      </c>
      <c r="C642" s="34" t="str">
        <f t="shared" si="33"/>
        <v>6114 (Kab. Kepulauan Selayar)</v>
      </c>
    </row>
    <row r="643" spans="1:3" s="46" customFormat="1" outlineLevel="1" x14ac:dyDescent="0.3">
      <c r="A643" s="50" t="s">
        <v>1028</v>
      </c>
      <c r="B643" s="48" t="s">
        <v>1027</v>
      </c>
      <c r="C643" s="34" t="str">
        <f t="shared" si="33"/>
        <v>6115 (Kab. Takalar)</v>
      </c>
    </row>
    <row r="644" spans="1:3" s="46" customFormat="1" outlineLevel="1" x14ac:dyDescent="0.3">
      <c r="A644" s="50" t="s">
        <v>1030</v>
      </c>
      <c r="B644" s="48" t="s">
        <v>1029</v>
      </c>
      <c r="C644" s="34" t="str">
        <f t="shared" si="33"/>
        <v>6116 (Kab. Barru)</v>
      </c>
    </row>
    <row r="645" spans="1:3" s="46" customFormat="1" outlineLevel="1" x14ac:dyDescent="0.3">
      <c r="A645" s="50" t="s">
        <v>1032</v>
      </c>
      <c r="B645" s="48" t="s">
        <v>1031</v>
      </c>
      <c r="C645" s="34" t="str">
        <f t="shared" si="33"/>
        <v>6117 (Kab. Sidenreng Rappang)</v>
      </c>
    </row>
    <row r="646" spans="1:3" s="46" customFormat="1" outlineLevel="1" x14ac:dyDescent="0.3">
      <c r="A646" s="50" t="s">
        <v>1034</v>
      </c>
      <c r="B646" s="48" t="s">
        <v>1033</v>
      </c>
      <c r="C646" s="34" t="str">
        <f t="shared" si="33"/>
        <v>6118 (Kab. Pangkajene Kepulauan)</v>
      </c>
    </row>
    <row r="647" spans="1:3" s="46" customFormat="1" outlineLevel="1" x14ac:dyDescent="0.3">
      <c r="A647" s="50" t="s">
        <v>1036</v>
      </c>
      <c r="B647" s="48" t="s">
        <v>1035</v>
      </c>
      <c r="C647" s="34" t="str">
        <f t="shared" si="33"/>
        <v>6119 (Kab. Soppeng (d/h Watansoppeng))</v>
      </c>
    </row>
    <row r="648" spans="1:3" s="46" customFormat="1" outlineLevel="1" x14ac:dyDescent="0.3">
      <c r="A648" s="50" t="s">
        <v>1038</v>
      </c>
      <c r="B648" s="48" t="s">
        <v>1037</v>
      </c>
      <c r="C648" s="34" t="str">
        <f t="shared" si="33"/>
        <v>6121 (Kab. Enrekang)</v>
      </c>
    </row>
    <row r="649" spans="1:3" s="46" customFormat="1" outlineLevel="1" x14ac:dyDescent="0.3">
      <c r="A649" s="50" t="s">
        <v>1040</v>
      </c>
      <c r="B649" s="48" t="s">
        <v>1039</v>
      </c>
      <c r="C649" s="34" t="str">
        <f t="shared" si="33"/>
        <v>6122 (Kab. Luwu Timur (d/h Luwu Selatan))</v>
      </c>
    </row>
    <row r="650" spans="1:3" s="46" customFormat="1" outlineLevel="1" x14ac:dyDescent="0.3">
      <c r="A650" s="50" t="s">
        <v>1042</v>
      </c>
      <c r="B650" s="48" t="s">
        <v>1041</v>
      </c>
      <c r="C650" s="34" t="str">
        <f t="shared" si="33"/>
        <v>6124 (Kab. Luwu Utara)</v>
      </c>
    </row>
    <row r="651" spans="1:3" s="46" customFormat="1" outlineLevel="1" x14ac:dyDescent="0.3">
      <c r="A651" s="50" t="s">
        <v>1044</v>
      </c>
      <c r="B651" s="48" t="s">
        <v>1043</v>
      </c>
      <c r="C651" s="34" t="str">
        <f t="shared" ref="C651:C714" si="34">IF(A651&lt;&gt;"",CONCATENATE(A651, " (",B651,")"),"")</f>
        <v>6125 (Kab. Toraja Utara)</v>
      </c>
    </row>
    <row r="652" spans="1:3" s="46" customFormat="1" outlineLevel="1" x14ac:dyDescent="0.3">
      <c r="A652" s="50" t="s">
        <v>1046</v>
      </c>
      <c r="B652" s="48" t="s">
        <v>1045</v>
      </c>
      <c r="C652" s="34" t="str">
        <f t="shared" si="34"/>
        <v>6191 (Kota Makassar)</v>
      </c>
    </row>
    <row r="653" spans="1:3" s="46" customFormat="1" outlineLevel="1" x14ac:dyDescent="0.3">
      <c r="A653" s="50" t="s">
        <v>1048</v>
      </c>
      <c r="B653" s="48" t="s">
        <v>1047</v>
      </c>
      <c r="C653" s="34" t="str">
        <f t="shared" si="34"/>
        <v>6192 (Kota Pare-Pare)</v>
      </c>
    </row>
    <row r="654" spans="1:3" s="46" customFormat="1" outlineLevel="1" x14ac:dyDescent="0.3">
      <c r="A654" s="50" t="s">
        <v>1050</v>
      </c>
      <c r="B654" s="48" t="s">
        <v>1049</v>
      </c>
      <c r="C654" s="34" t="str">
        <f t="shared" si="34"/>
        <v>6193 (Kota Palopo)</v>
      </c>
    </row>
    <row r="655" spans="1:3" s="46" customFormat="1" outlineLevel="1" x14ac:dyDescent="0.3">
      <c r="A655" s="51"/>
      <c r="B655" s="48" t="s">
        <v>1051</v>
      </c>
      <c r="C655" s="34" t="str">
        <f t="shared" si="34"/>
        <v/>
      </c>
    </row>
    <row r="656" spans="1:3" s="46" customFormat="1" outlineLevel="1" x14ac:dyDescent="0.3">
      <c r="A656" s="50" t="s">
        <v>1053</v>
      </c>
      <c r="B656" s="48" t="s">
        <v>1052</v>
      </c>
      <c r="C656" s="34" t="str">
        <f t="shared" si="34"/>
        <v>6202 (Kab. Minahasa)</v>
      </c>
    </row>
    <row r="657" spans="1:3" s="46" customFormat="1" outlineLevel="1" x14ac:dyDescent="0.3">
      <c r="A657" s="50" t="s">
        <v>1055</v>
      </c>
      <c r="B657" s="48" t="s">
        <v>1054</v>
      </c>
      <c r="C657" s="34" t="str">
        <f t="shared" si="34"/>
        <v>6203 (Kab. Bolaang Mongondow)</v>
      </c>
    </row>
    <row r="658" spans="1:3" s="46" customFormat="1" outlineLevel="1" x14ac:dyDescent="0.3">
      <c r="A658" s="50" t="s">
        <v>1057</v>
      </c>
      <c r="B658" s="48" t="s">
        <v>1056</v>
      </c>
      <c r="C658" s="34" t="str">
        <f t="shared" si="34"/>
        <v>6204 (Kab. Kepulauan Sangihe)</v>
      </c>
    </row>
    <row r="659" spans="1:3" s="46" customFormat="1" outlineLevel="1" x14ac:dyDescent="0.3">
      <c r="A659" s="50" t="s">
        <v>1059</v>
      </c>
      <c r="B659" s="48" t="s">
        <v>1058</v>
      </c>
      <c r="C659" s="34" t="str">
        <f t="shared" si="34"/>
        <v>6205 (Kab. kepulauan Talaud)</v>
      </c>
    </row>
    <row r="660" spans="1:3" s="46" customFormat="1" outlineLevel="1" x14ac:dyDescent="0.3">
      <c r="A660" s="50" t="s">
        <v>1061</v>
      </c>
      <c r="B660" s="48" t="s">
        <v>1060</v>
      </c>
      <c r="C660" s="34" t="str">
        <f t="shared" si="34"/>
        <v>6206 (Kab. Minahasa Selatan)</v>
      </c>
    </row>
    <row r="661" spans="1:3" s="46" customFormat="1" outlineLevel="1" x14ac:dyDescent="0.3">
      <c r="A661" s="50" t="s">
        <v>1063</v>
      </c>
      <c r="B661" s="48" t="s">
        <v>1062</v>
      </c>
      <c r="C661" s="34" t="str">
        <f t="shared" si="34"/>
        <v>6207 (Kab. Minahasa Utara)</v>
      </c>
    </row>
    <row r="662" spans="1:3" s="46" customFormat="1" outlineLevel="1" x14ac:dyDescent="0.3">
      <c r="A662" s="50" t="s">
        <v>1065</v>
      </c>
      <c r="B662" s="48" t="s">
        <v>1064</v>
      </c>
      <c r="C662" s="34" t="str">
        <f t="shared" si="34"/>
        <v>6209 (Kab. Minahasa Tenggara)</v>
      </c>
    </row>
    <row r="663" spans="1:3" s="46" customFormat="1" outlineLevel="1" x14ac:dyDescent="0.3">
      <c r="A663" s="50" t="s">
        <v>1067</v>
      </c>
      <c r="B663" s="48" t="s">
        <v>1066</v>
      </c>
      <c r="C663" s="34" t="str">
        <f t="shared" si="34"/>
        <v>6210 (Kab. Bolaang Mongondow Utara)</v>
      </c>
    </row>
    <row r="664" spans="1:3" s="46" customFormat="1" outlineLevel="1" x14ac:dyDescent="0.3">
      <c r="A664" s="50" t="s">
        <v>1069</v>
      </c>
      <c r="B664" s="48" t="s">
        <v>1068</v>
      </c>
      <c r="C664" s="34" t="str">
        <f t="shared" si="34"/>
        <v>6211 (Kab. Kepulauan Sitaro)</v>
      </c>
    </row>
    <row r="665" spans="1:3" s="46" customFormat="1" outlineLevel="1" x14ac:dyDescent="0.3">
      <c r="A665" s="50" t="s">
        <v>1071</v>
      </c>
      <c r="B665" s="48" t="s">
        <v>1070</v>
      </c>
      <c r="C665" s="34" t="str">
        <f t="shared" si="34"/>
        <v>6212 (Kab. Bolaang Mongondow Selatan)</v>
      </c>
    </row>
    <row r="666" spans="1:3" s="46" customFormat="1" outlineLevel="1" x14ac:dyDescent="0.3">
      <c r="A666" s="50" t="s">
        <v>1073</v>
      </c>
      <c r="B666" s="48" t="s">
        <v>1072</v>
      </c>
      <c r="C666" s="34" t="str">
        <f t="shared" si="34"/>
        <v>6213 (Kab. Bolaang Mongondow Timur)</v>
      </c>
    </row>
    <row r="667" spans="1:3" s="46" customFormat="1" outlineLevel="1" x14ac:dyDescent="0.3">
      <c r="A667" s="50" t="s">
        <v>1075</v>
      </c>
      <c r="B667" s="48" t="s">
        <v>1074</v>
      </c>
      <c r="C667" s="34" t="str">
        <f t="shared" si="34"/>
        <v>6291 (Kota Manado)</v>
      </c>
    </row>
    <row r="668" spans="1:3" s="46" customFormat="1" outlineLevel="1" x14ac:dyDescent="0.3">
      <c r="A668" s="50" t="s">
        <v>1077</v>
      </c>
      <c r="B668" s="48" t="s">
        <v>1076</v>
      </c>
      <c r="C668" s="34" t="str">
        <f t="shared" si="34"/>
        <v>6292 (Kota Kotamobagu)</v>
      </c>
    </row>
    <row r="669" spans="1:3" s="46" customFormat="1" outlineLevel="1" x14ac:dyDescent="0.3">
      <c r="A669" s="50" t="s">
        <v>1079</v>
      </c>
      <c r="B669" s="48" t="s">
        <v>1078</v>
      </c>
      <c r="C669" s="34" t="str">
        <f t="shared" si="34"/>
        <v>6293 (Kota Bitung)</v>
      </c>
    </row>
    <row r="670" spans="1:3" s="46" customFormat="1" outlineLevel="1" x14ac:dyDescent="0.3">
      <c r="A670" s="50" t="s">
        <v>1081</v>
      </c>
      <c r="B670" s="48" t="s">
        <v>1080</v>
      </c>
      <c r="C670" s="34" t="str">
        <f t="shared" si="34"/>
        <v>6294 (Kota Tomohon)</v>
      </c>
    </row>
    <row r="671" spans="1:3" s="46" customFormat="1" outlineLevel="1" x14ac:dyDescent="0.3">
      <c r="A671" s="51"/>
      <c r="B671" s="48" t="s">
        <v>1082</v>
      </c>
      <c r="C671" s="34" t="str">
        <f t="shared" si="34"/>
        <v/>
      </c>
    </row>
    <row r="672" spans="1:3" s="46" customFormat="1" outlineLevel="1" x14ac:dyDescent="0.3">
      <c r="A672" s="50" t="s">
        <v>1084</v>
      </c>
      <c r="B672" s="48" t="s">
        <v>1083</v>
      </c>
      <c r="C672" s="34" t="str">
        <f t="shared" si="34"/>
        <v>6301 (Kab. Gorontalo)</v>
      </c>
    </row>
    <row r="673" spans="1:3" s="46" customFormat="1" outlineLevel="1" x14ac:dyDescent="0.3">
      <c r="A673" s="50" t="s">
        <v>1086</v>
      </c>
      <c r="B673" s="48" t="s">
        <v>1085</v>
      </c>
      <c r="C673" s="34" t="str">
        <f t="shared" si="34"/>
        <v>6302 (Kab. Bualemo)</v>
      </c>
    </row>
    <row r="674" spans="1:3" s="46" customFormat="1" outlineLevel="1" x14ac:dyDescent="0.3">
      <c r="A674" s="50" t="s">
        <v>1088</v>
      </c>
      <c r="B674" s="48" t="s">
        <v>1087</v>
      </c>
      <c r="C674" s="34" t="str">
        <f t="shared" si="34"/>
        <v>6303 (Kab. Bonebolango)</v>
      </c>
    </row>
    <row r="675" spans="1:3" s="46" customFormat="1" outlineLevel="1" x14ac:dyDescent="0.3">
      <c r="A675" s="50" t="s">
        <v>1090</v>
      </c>
      <c r="B675" s="48" t="s">
        <v>1089</v>
      </c>
      <c r="C675" s="34" t="str">
        <f t="shared" si="34"/>
        <v>6304 (Kab. Pohuwato)</v>
      </c>
    </row>
    <row r="676" spans="1:3" s="46" customFormat="1" outlineLevel="1" x14ac:dyDescent="0.3">
      <c r="A676" s="50" t="s">
        <v>1092</v>
      </c>
      <c r="B676" s="48" t="s">
        <v>1091</v>
      </c>
      <c r="C676" s="34" t="str">
        <f t="shared" si="34"/>
        <v>6305 (Kab. Gorontalo Utara)</v>
      </c>
    </row>
    <row r="677" spans="1:3" s="46" customFormat="1" outlineLevel="1" x14ac:dyDescent="0.3">
      <c r="A677" s="50" t="s">
        <v>1094</v>
      </c>
      <c r="B677" s="48" t="s">
        <v>1093</v>
      </c>
      <c r="C677" s="34" t="str">
        <f t="shared" si="34"/>
        <v>6391 (Kota Gorontalo)</v>
      </c>
    </row>
    <row r="678" spans="1:3" s="46" customFormat="1" outlineLevel="1" x14ac:dyDescent="0.3">
      <c r="A678" s="51"/>
      <c r="B678" s="48" t="s">
        <v>1095</v>
      </c>
      <c r="C678" s="34" t="str">
        <f t="shared" si="34"/>
        <v/>
      </c>
    </row>
    <row r="679" spans="1:3" s="46" customFormat="1" outlineLevel="1" x14ac:dyDescent="0.3">
      <c r="A679" s="50" t="s">
        <v>1097</v>
      </c>
      <c r="B679" s="48" t="s">
        <v>1096</v>
      </c>
      <c r="C679" s="34" t="str">
        <f t="shared" si="34"/>
        <v>6401 (Kab. Polewali Mandar)</v>
      </c>
    </row>
    <row r="680" spans="1:3" s="46" customFormat="1" outlineLevel="1" x14ac:dyDescent="0.3">
      <c r="A680" s="50" t="s">
        <v>1099</v>
      </c>
      <c r="B680" s="48" t="s">
        <v>1098</v>
      </c>
      <c r="C680" s="34" t="str">
        <f t="shared" si="34"/>
        <v>6402 (Kab. Majene)</v>
      </c>
    </row>
    <row r="681" spans="1:3" s="46" customFormat="1" outlineLevel="1" x14ac:dyDescent="0.3">
      <c r="A681" s="50" t="s">
        <v>1101</v>
      </c>
      <c r="B681" s="48" t="s">
        <v>1100</v>
      </c>
      <c r="C681" s="34" t="str">
        <f t="shared" si="34"/>
        <v>6403 (Kab. Mamasa)</v>
      </c>
    </row>
    <row r="682" spans="1:3" s="46" customFormat="1" outlineLevel="1" x14ac:dyDescent="0.3">
      <c r="A682" s="50" t="s">
        <v>1103</v>
      </c>
      <c r="B682" s="48" t="s">
        <v>1102</v>
      </c>
      <c r="C682" s="34" t="str">
        <f t="shared" si="34"/>
        <v>6404 (Kab. Mamuju Utara)</v>
      </c>
    </row>
    <row r="683" spans="1:3" s="46" customFormat="1" outlineLevel="1" x14ac:dyDescent="0.3">
      <c r="A683" s="50" t="s">
        <v>1105</v>
      </c>
      <c r="B683" s="48" t="s">
        <v>1104</v>
      </c>
      <c r="C683" s="34" t="str">
        <f t="shared" si="34"/>
        <v>6405 (Kab. Mamuju Tengah)</v>
      </c>
    </row>
    <row r="684" spans="1:3" s="46" customFormat="1" outlineLevel="1" x14ac:dyDescent="0.3">
      <c r="A684" s="50" t="s">
        <v>1107</v>
      </c>
      <c r="B684" s="48" t="s">
        <v>1106</v>
      </c>
      <c r="C684" s="34" t="str">
        <f t="shared" si="34"/>
        <v>6406 (Kab. Mamuju)</v>
      </c>
    </row>
    <row r="685" spans="1:3" s="46" customFormat="1" outlineLevel="1" x14ac:dyDescent="0.3">
      <c r="A685" s="51"/>
      <c r="B685" s="48" t="s">
        <v>1108</v>
      </c>
      <c r="C685" s="34" t="str">
        <f t="shared" si="34"/>
        <v/>
      </c>
    </row>
    <row r="686" spans="1:3" s="46" customFormat="1" outlineLevel="1" x14ac:dyDescent="0.3">
      <c r="A686" s="50" t="s">
        <v>1110</v>
      </c>
      <c r="B686" s="48" t="s">
        <v>1109</v>
      </c>
      <c r="C686" s="34" t="str">
        <f t="shared" si="34"/>
        <v>6901 (Kab. Buton)</v>
      </c>
    </row>
    <row r="687" spans="1:3" s="46" customFormat="1" outlineLevel="1" x14ac:dyDescent="0.3">
      <c r="A687" s="50" t="s">
        <v>1112</v>
      </c>
      <c r="B687" s="48" t="s">
        <v>1111</v>
      </c>
      <c r="C687" s="34" t="str">
        <f t="shared" si="34"/>
        <v>6903 (Kab. Muna)</v>
      </c>
    </row>
    <row r="688" spans="1:3" s="46" customFormat="1" outlineLevel="1" x14ac:dyDescent="0.3">
      <c r="A688" s="50" t="s">
        <v>1114</v>
      </c>
      <c r="B688" s="48" t="s">
        <v>1113</v>
      </c>
      <c r="C688" s="34" t="str">
        <f t="shared" si="34"/>
        <v>6904 (Kab. Kolaka)</v>
      </c>
    </row>
    <row r="689" spans="1:3" s="46" customFormat="1" outlineLevel="1" x14ac:dyDescent="0.3">
      <c r="A689" s="50" t="s">
        <v>1116</v>
      </c>
      <c r="B689" s="48" t="s">
        <v>1115</v>
      </c>
      <c r="C689" s="34" t="str">
        <f t="shared" si="34"/>
        <v>6905 (Kab. Wakatobi)</v>
      </c>
    </row>
    <row r="690" spans="1:3" s="46" customFormat="1" outlineLevel="1" x14ac:dyDescent="0.3">
      <c r="A690" s="50" t="s">
        <v>1118</v>
      </c>
      <c r="B690" s="48" t="s">
        <v>1117</v>
      </c>
      <c r="C690" s="34" t="str">
        <f t="shared" si="34"/>
        <v>6906 (Kab. Konawe)</v>
      </c>
    </row>
    <row r="691" spans="1:3" s="46" customFormat="1" outlineLevel="1" x14ac:dyDescent="0.3">
      <c r="A691" s="50" t="s">
        <v>1120</v>
      </c>
      <c r="B691" s="48" t="s">
        <v>1119</v>
      </c>
      <c r="C691" s="34" t="str">
        <f t="shared" si="34"/>
        <v>6907 (Kab. Konawe Selatan)</v>
      </c>
    </row>
    <row r="692" spans="1:3" s="46" customFormat="1" outlineLevel="1" x14ac:dyDescent="0.3">
      <c r="A692" s="50" t="s">
        <v>1122</v>
      </c>
      <c r="B692" s="48" t="s">
        <v>1121</v>
      </c>
      <c r="C692" s="34" t="str">
        <f t="shared" si="34"/>
        <v>6908 (Kab. Bombana)</v>
      </c>
    </row>
    <row r="693" spans="1:3" s="46" customFormat="1" outlineLevel="1" x14ac:dyDescent="0.3">
      <c r="A693" s="50" t="s">
        <v>1124</v>
      </c>
      <c r="B693" s="48" t="s">
        <v>1123</v>
      </c>
      <c r="C693" s="34" t="str">
        <f t="shared" si="34"/>
        <v>6909 (Kab. Kolaka Utara)</v>
      </c>
    </row>
    <row r="694" spans="1:3" s="46" customFormat="1" outlineLevel="1" x14ac:dyDescent="0.3">
      <c r="A694" s="50" t="s">
        <v>1126</v>
      </c>
      <c r="B694" s="48" t="s">
        <v>1125</v>
      </c>
      <c r="C694" s="34" t="str">
        <f t="shared" si="34"/>
        <v>6910 (Kab. Buton Utara)</v>
      </c>
    </row>
    <row r="695" spans="1:3" s="46" customFormat="1" outlineLevel="1" x14ac:dyDescent="0.3">
      <c r="A695" s="50" t="s">
        <v>1128</v>
      </c>
      <c r="B695" s="48" t="s">
        <v>1127</v>
      </c>
      <c r="C695" s="34" t="str">
        <f t="shared" si="34"/>
        <v>6911 (Kab. Konawe Utara)</v>
      </c>
    </row>
    <row r="696" spans="1:3" s="46" customFormat="1" outlineLevel="1" x14ac:dyDescent="0.3">
      <c r="A696" s="50" t="s">
        <v>1130</v>
      </c>
      <c r="B696" s="48" t="s">
        <v>1129</v>
      </c>
      <c r="C696" s="34" t="str">
        <f t="shared" si="34"/>
        <v>6912 (Kab. Kaloka Timur)</v>
      </c>
    </row>
    <row r="697" spans="1:3" s="46" customFormat="1" outlineLevel="1" x14ac:dyDescent="0.3">
      <c r="A697" s="50" t="s">
        <v>1132</v>
      </c>
      <c r="B697" s="48" t="s">
        <v>1131</v>
      </c>
      <c r="C697" s="34" t="str">
        <f t="shared" si="34"/>
        <v>6913 (Kab. Konawe Kepulauan)</v>
      </c>
    </row>
    <row r="698" spans="1:3" s="46" customFormat="1" outlineLevel="1" x14ac:dyDescent="0.3">
      <c r="A698" s="50" t="s">
        <v>1134</v>
      </c>
      <c r="B698" s="48" t="s">
        <v>1133</v>
      </c>
      <c r="C698" s="34" t="str">
        <f t="shared" si="34"/>
        <v>6914 (Kab. Buton Selatan)</v>
      </c>
    </row>
    <row r="699" spans="1:3" s="46" customFormat="1" outlineLevel="1" x14ac:dyDescent="0.3">
      <c r="A699" s="50" t="s">
        <v>1136</v>
      </c>
      <c r="B699" s="48" t="s">
        <v>1135</v>
      </c>
      <c r="C699" s="34" t="str">
        <f t="shared" si="34"/>
        <v>6915 (Kab. Buton Tengah)</v>
      </c>
    </row>
    <row r="700" spans="1:3" s="46" customFormat="1" outlineLevel="1" x14ac:dyDescent="0.3">
      <c r="A700" s="50" t="s">
        <v>1138</v>
      </c>
      <c r="B700" s="48" t="s">
        <v>1137</v>
      </c>
      <c r="C700" s="34" t="str">
        <f t="shared" si="34"/>
        <v>6916 (Kab. Muna Barat)</v>
      </c>
    </row>
    <row r="701" spans="1:3" s="46" customFormat="1" outlineLevel="1" x14ac:dyDescent="0.3">
      <c r="A701" s="50" t="s">
        <v>1140</v>
      </c>
      <c r="B701" s="48" t="s">
        <v>1139</v>
      </c>
      <c r="C701" s="34" t="str">
        <f t="shared" si="34"/>
        <v>6990 (Kota Bau-Bau)</v>
      </c>
    </row>
    <row r="702" spans="1:3" s="46" customFormat="1" outlineLevel="1" x14ac:dyDescent="0.3">
      <c r="A702" s="50" t="s">
        <v>1142</v>
      </c>
      <c r="B702" s="48" t="s">
        <v>1141</v>
      </c>
      <c r="C702" s="34" t="str">
        <f t="shared" si="34"/>
        <v>6991 (Kota Kendari)</v>
      </c>
    </row>
    <row r="703" spans="1:3" s="46" customFormat="1" outlineLevel="1" x14ac:dyDescent="0.3">
      <c r="A703" s="51"/>
      <c r="B703" s="48" t="s">
        <v>1143</v>
      </c>
      <c r="C703" s="34" t="str">
        <f t="shared" si="34"/>
        <v/>
      </c>
    </row>
    <row r="704" spans="1:3" s="46" customFormat="1" outlineLevel="1" x14ac:dyDescent="0.3">
      <c r="A704" s="50" t="s">
        <v>1145</v>
      </c>
      <c r="B704" s="48" t="s">
        <v>1144</v>
      </c>
      <c r="C704" s="34" t="str">
        <f t="shared" si="34"/>
        <v>7101 (Kab. Lombok Barat)</v>
      </c>
    </row>
    <row r="705" spans="1:3" s="46" customFormat="1" outlineLevel="1" x14ac:dyDescent="0.3">
      <c r="A705" s="50" t="s">
        <v>1147</v>
      </c>
      <c r="B705" s="48" t="s">
        <v>1146</v>
      </c>
      <c r="C705" s="34" t="str">
        <f t="shared" si="34"/>
        <v>7102 (Kab. Lombok Tengah)</v>
      </c>
    </row>
    <row r="706" spans="1:3" s="46" customFormat="1" outlineLevel="1" x14ac:dyDescent="0.3">
      <c r="A706" s="50" t="s">
        <v>1149</v>
      </c>
      <c r="B706" s="48" t="s">
        <v>1148</v>
      </c>
      <c r="C706" s="34" t="str">
        <f t="shared" si="34"/>
        <v>7103 (Kab. Lombok Timur)</v>
      </c>
    </row>
    <row r="707" spans="1:3" s="46" customFormat="1" outlineLevel="1" x14ac:dyDescent="0.3">
      <c r="A707" s="50" t="s">
        <v>1151</v>
      </c>
      <c r="B707" s="48" t="s">
        <v>1150</v>
      </c>
      <c r="C707" s="34" t="str">
        <f t="shared" si="34"/>
        <v>7104 (Kab. Sumbawa)</v>
      </c>
    </row>
    <row r="708" spans="1:3" s="46" customFormat="1" outlineLevel="1" x14ac:dyDescent="0.3">
      <c r="A708" s="50" t="s">
        <v>1153</v>
      </c>
      <c r="B708" s="48" t="s">
        <v>1152</v>
      </c>
      <c r="C708" s="34" t="str">
        <f t="shared" si="34"/>
        <v>7105 (Kab. Bima)</v>
      </c>
    </row>
    <row r="709" spans="1:3" s="46" customFormat="1" outlineLevel="1" x14ac:dyDescent="0.3">
      <c r="A709" s="50" t="s">
        <v>1155</v>
      </c>
      <c r="B709" s="48" t="s">
        <v>1154</v>
      </c>
      <c r="C709" s="34" t="str">
        <f t="shared" si="34"/>
        <v>7106 (Kab. Dompu)</v>
      </c>
    </row>
    <row r="710" spans="1:3" s="46" customFormat="1" outlineLevel="1" x14ac:dyDescent="0.3">
      <c r="A710" s="50" t="s">
        <v>1157</v>
      </c>
      <c r="B710" s="48" t="s">
        <v>1156</v>
      </c>
      <c r="C710" s="34" t="str">
        <f t="shared" si="34"/>
        <v>7107 (Kab. Sumbawa Barat)</v>
      </c>
    </row>
    <row r="711" spans="1:3" s="46" customFormat="1" outlineLevel="1" x14ac:dyDescent="0.3">
      <c r="A711" s="50" t="s">
        <v>1159</v>
      </c>
      <c r="B711" s="48" t="s">
        <v>1158</v>
      </c>
      <c r="C711" s="34" t="str">
        <f t="shared" si="34"/>
        <v>7108 (Kab. Lombok Utara)</v>
      </c>
    </row>
    <row r="712" spans="1:3" s="46" customFormat="1" outlineLevel="1" x14ac:dyDescent="0.3">
      <c r="A712" s="50" t="s">
        <v>1161</v>
      </c>
      <c r="B712" s="48" t="s">
        <v>1160</v>
      </c>
      <c r="C712" s="34" t="str">
        <f t="shared" si="34"/>
        <v>7191 (Kota Mataram)</v>
      </c>
    </row>
    <row r="713" spans="1:3" s="46" customFormat="1" outlineLevel="1" x14ac:dyDescent="0.3">
      <c r="A713" s="50" t="s">
        <v>1163</v>
      </c>
      <c r="B713" s="48" t="s">
        <v>1162</v>
      </c>
      <c r="C713" s="34" t="str">
        <f t="shared" si="34"/>
        <v>7192 (Kota. Bima)</v>
      </c>
    </row>
    <row r="714" spans="1:3" s="46" customFormat="1" outlineLevel="1" x14ac:dyDescent="0.3">
      <c r="A714" s="51"/>
      <c r="B714" s="48" t="s">
        <v>1164</v>
      </c>
      <c r="C714" s="34" t="str">
        <f t="shared" si="34"/>
        <v/>
      </c>
    </row>
    <row r="715" spans="1:3" s="46" customFormat="1" outlineLevel="1" x14ac:dyDescent="0.3">
      <c r="A715" s="50" t="s">
        <v>1166</v>
      </c>
      <c r="B715" s="48" t="s">
        <v>1165</v>
      </c>
      <c r="C715" s="34" t="str">
        <f t="shared" ref="C715:C778" si="35">IF(A715&lt;&gt;"",CONCATENATE(A715, " (",B715,")"),"")</f>
        <v>7201 (Kab. Buleleng)</v>
      </c>
    </row>
    <row r="716" spans="1:3" s="46" customFormat="1" outlineLevel="1" x14ac:dyDescent="0.3">
      <c r="A716" s="50" t="s">
        <v>1168</v>
      </c>
      <c r="B716" s="48" t="s">
        <v>1167</v>
      </c>
      <c r="C716" s="34" t="str">
        <f t="shared" si="35"/>
        <v>7202 (Kab. Jembrana)</v>
      </c>
    </row>
    <row r="717" spans="1:3" s="46" customFormat="1" outlineLevel="1" x14ac:dyDescent="0.3">
      <c r="A717" s="50" t="s">
        <v>1170</v>
      </c>
      <c r="B717" s="48" t="s">
        <v>1169</v>
      </c>
      <c r="C717" s="34" t="str">
        <f t="shared" si="35"/>
        <v>7203 (Kab. Tabanan)</v>
      </c>
    </row>
    <row r="718" spans="1:3" s="46" customFormat="1" outlineLevel="1" x14ac:dyDescent="0.3">
      <c r="A718" s="50" t="s">
        <v>1172</v>
      </c>
      <c r="B718" s="48" t="s">
        <v>1171</v>
      </c>
      <c r="C718" s="34" t="str">
        <f t="shared" si="35"/>
        <v>7204 (Kab. Badung)</v>
      </c>
    </row>
    <row r="719" spans="1:3" s="46" customFormat="1" outlineLevel="1" x14ac:dyDescent="0.3">
      <c r="A719" s="50" t="s">
        <v>1174</v>
      </c>
      <c r="B719" s="48" t="s">
        <v>1173</v>
      </c>
      <c r="C719" s="34" t="str">
        <f t="shared" si="35"/>
        <v>7205 (Kab. Gianyar)</v>
      </c>
    </row>
    <row r="720" spans="1:3" s="46" customFormat="1" outlineLevel="1" x14ac:dyDescent="0.3">
      <c r="A720" s="50" t="s">
        <v>1176</v>
      </c>
      <c r="B720" s="48" t="s">
        <v>1175</v>
      </c>
      <c r="C720" s="34" t="str">
        <f t="shared" si="35"/>
        <v>7206 (Kab. Klungkung)</v>
      </c>
    </row>
    <row r="721" spans="1:3" s="46" customFormat="1" outlineLevel="1" x14ac:dyDescent="0.3">
      <c r="A721" s="50" t="s">
        <v>1178</v>
      </c>
      <c r="B721" s="48" t="s">
        <v>1177</v>
      </c>
      <c r="C721" s="34" t="str">
        <f t="shared" si="35"/>
        <v>7207 (Kab. Bangli)</v>
      </c>
    </row>
    <row r="722" spans="1:3" s="46" customFormat="1" outlineLevel="1" x14ac:dyDescent="0.3">
      <c r="A722" s="50" t="s">
        <v>1180</v>
      </c>
      <c r="B722" s="48" t="s">
        <v>1179</v>
      </c>
      <c r="C722" s="34" t="str">
        <f t="shared" si="35"/>
        <v>7208 (Kab. Karangasem)</v>
      </c>
    </row>
    <row r="723" spans="1:3" s="46" customFormat="1" outlineLevel="1" x14ac:dyDescent="0.3">
      <c r="A723" s="50" t="s">
        <v>1182</v>
      </c>
      <c r="B723" s="48" t="s">
        <v>1181</v>
      </c>
      <c r="C723" s="34" t="str">
        <f t="shared" si="35"/>
        <v>7291 (Kota Denpasar)</v>
      </c>
    </row>
    <row r="724" spans="1:3" s="46" customFormat="1" outlineLevel="1" x14ac:dyDescent="0.3">
      <c r="A724" s="51"/>
      <c r="B724" s="48" t="s">
        <v>1183</v>
      </c>
      <c r="C724" s="34" t="str">
        <f t="shared" si="35"/>
        <v/>
      </c>
    </row>
    <row r="725" spans="1:3" s="46" customFormat="1" outlineLevel="1" x14ac:dyDescent="0.3">
      <c r="A725" s="50" t="s">
        <v>1185</v>
      </c>
      <c r="B725" s="48" t="s">
        <v>1184</v>
      </c>
      <c r="C725" s="34" t="str">
        <f t="shared" si="35"/>
        <v>7401 (Kab. Kupang)</v>
      </c>
    </row>
    <row r="726" spans="1:3" s="46" customFormat="1" outlineLevel="1" x14ac:dyDescent="0.3">
      <c r="A726" s="50" t="s">
        <v>1187</v>
      </c>
      <c r="B726" s="48" t="s">
        <v>1186</v>
      </c>
      <c r="C726" s="34" t="str">
        <f t="shared" si="35"/>
        <v>7402 (Kab. Timor-Tengah Selatan)</v>
      </c>
    </row>
    <row r="727" spans="1:3" s="46" customFormat="1" outlineLevel="1" x14ac:dyDescent="0.3">
      <c r="A727" s="50" t="s">
        <v>1189</v>
      </c>
      <c r="B727" s="48" t="s">
        <v>1188</v>
      </c>
      <c r="C727" s="34" t="str">
        <f t="shared" si="35"/>
        <v>7403 (Kab. Timor-Tengah Utara)</v>
      </c>
    </row>
    <row r="728" spans="1:3" s="46" customFormat="1" outlineLevel="1" x14ac:dyDescent="0.3">
      <c r="A728" s="50" t="s">
        <v>1191</v>
      </c>
      <c r="B728" s="48" t="s">
        <v>1190</v>
      </c>
      <c r="C728" s="34" t="str">
        <f t="shared" si="35"/>
        <v>7404 (Kab. Belu)</v>
      </c>
    </row>
    <row r="729" spans="1:3" s="46" customFormat="1" outlineLevel="1" x14ac:dyDescent="0.3">
      <c r="A729" s="50" t="s">
        <v>1193</v>
      </c>
      <c r="B729" s="48" t="s">
        <v>1192</v>
      </c>
      <c r="C729" s="34" t="str">
        <f t="shared" si="35"/>
        <v>7405 (Kab. Alor)</v>
      </c>
    </row>
    <row r="730" spans="1:3" s="46" customFormat="1" outlineLevel="1" x14ac:dyDescent="0.3">
      <c r="A730" s="50" t="s">
        <v>1195</v>
      </c>
      <c r="B730" s="48" t="s">
        <v>1194</v>
      </c>
      <c r="C730" s="34" t="str">
        <f t="shared" si="35"/>
        <v>7406 (Kab. Flores Timur)</v>
      </c>
    </row>
    <row r="731" spans="1:3" s="46" customFormat="1" outlineLevel="1" x14ac:dyDescent="0.3">
      <c r="A731" s="50" t="s">
        <v>1197</v>
      </c>
      <c r="B731" s="48" t="s">
        <v>1196</v>
      </c>
      <c r="C731" s="34" t="str">
        <f t="shared" si="35"/>
        <v>7407 (Kab. Sikka)</v>
      </c>
    </row>
    <row r="732" spans="1:3" s="46" customFormat="1" outlineLevel="1" x14ac:dyDescent="0.3">
      <c r="A732" s="50" t="s">
        <v>1199</v>
      </c>
      <c r="B732" s="48" t="s">
        <v>1198</v>
      </c>
      <c r="C732" s="34" t="str">
        <f t="shared" si="35"/>
        <v>7408 (Kab. Ende)</v>
      </c>
    </row>
    <row r="733" spans="1:3" s="46" customFormat="1" outlineLevel="1" x14ac:dyDescent="0.3">
      <c r="A733" s="50" t="s">
        <v>1201</v>
      </c>
      <c r="B733" s="48" t="s">
        <v>1200</v>
      </c>
      <c r="C733" s="34" t="str">
        <f t="shared" si="35"/>
        <v>7409 (Kab. Ngada)</v>
      </c>
    </row>
    <row r="734" spans="1:3" s="46" customFormat="1" outlineLevel="1" x14ac:dyDescent="0.3">
      <c r="A734" s="50" t="s">
        <v>1203</v>
      </c>
      <c r="B734" s="48" t="s">
        <v>1202</v>
      </c>
      <c r="C734" s="34" t="str">
        <f t="shared" si="35"/>
        <v>7410 (Kab. Manggarai)</v>
      </c>
    </row>
    <row r="735" spans="1:3" s="46" customFormat="1" outlineLevel="1" x14ac:dyDescent="0.3">
      <c r="A735" s="50" t="s">
        <v>1205</v>
      </c>
      <c r="B735" s="48" t="s">
        <v>1204</v>
      </c>
      <c r="C735" s="34" t="str">
        <f t="shared" si="35"/>
        <v>7411 (Kab. Sumba Timur)</v>
      </c>
    </row>
    <row r="736" spans="1:3" s="46" customFormat="1" outlineLevel="1" x14ac:dyDescent="0.3">
      <c r="A736" s="50" t="s">
        <v>1207</v>
      </c>
      <c r="B736" s="48" t="s">
        <v>1206</v>
      </c>
      <c r="C736" s="34" t="str">
        <f t="shared" si="35"/>
        <v>7412 (Kab. Sumba Barat)</v>
      </c>
    </row>
    <row r="737" spans="1:3" s="46" customFormat="1" outlineLevel="1" x14ac:dyDescent="0.3">
      <c r="A737" s="50" t="s">
        <v>1209</v>
      </c>
      <c r="B737" s="48" t="s">
        <v>1208</v>
      </c>
      <c r="C737" s="34" t="str">
        <f t="shared" si="35"/>
        <v>7413 (Kab. Lembata)</v>
      </c>
    </row>
    <row r="738" spans="1:3" s="46" customFormat="1" outlineLevel="1" x14ac:dyDescent="0.3">
      <c r="A738" s="50" t="s">
        <v>1211</v>
      </c>
      <c r="B738" s="48" t="s">
        <v>1210</v>
      </c>
      <c r="C738" s="34" t="str">
        <f t="shared" si="35"/>
        <v>7414 (Kab. Rote Ndao)</v>
      </c>
    </row>
    <row r="739" spans="1:3" s="46" customFormat="1" outlineLevel="1" x14ac:dyDescent="0.3">
      <c r="A739" s="50" t="s">
        <v>1213</v>
      </c>
      <c r="B739" s="48" t="s">
        <v>1212</v>
      </c>
      <c r="C739" s="34" t="str">
        <f t="shared" si="35"/>
        <v>7415 (Kab. Manggarai Barat)</v>
      </c>
    </row>
    <row r="740" spans="1:3" s="46" customFormat="1" outlineLevel="1" x14ac:dyDescent="0.3">
      <c r="A740" s="50" t="s">
        <v>1215</v>
      </c>
      <c r="B740" s="48" t="s">
        <v>1214</v>
      </c>
      <c r="C740" s="34" t="str">
        <f t="shared" si="35"/>
        <v>7416 (Kab. Sumba Tengah)</v>
      </c>
    </row>
    <row r="741" spans="1:3" s="46" customFormat="1" outlineLevel="1" x14ac:dyDescent="0.3">
      <c r="A741" s="50" t="s">
        <v>1217</v>
      </c>
      <c r="B741" s="48" t="s">
        <v>1216</v>
      </c>
      <c r="C741" s="34" t="str">
        <f t="shared" si="35"/>
        <v>7417 (Kab. Sumba Barat Daya)</v>
      </c>
    </row>
    <row r="742" spans="1:3" s="46" customFormat="1" outlineLevel="1" x14ac:dyDescent="0.3">
      <c r="A742" s="50" t="s">
        <v>1219</v>
      </c>
      <c r="B742" s="48" t="s">
        <v>1218</v>
      </c>
      <c r="C742" s="34" t="str">
        <f t="shared" si="35"/>
        <v>7418 (Kab. Manggarai Timur)</v>
      </c>
    </row>
    <row r="743" spans="1:3" s="46" customFormat="1" outlineLevel="1" x14ac:dyDescent="0.3">
      <c r="A743" s="50" t="s">
        <v>1221</v>
      </c>
      <c r="B743" s="48" t="s">
        <v>1220</v>
      </c>
      <c r="C743" s="34" t="str">
        <f t="shared" si="35"/>
        <v>7419 (Kab. Nagekeo)</v>
      </c>
    </row>
    <row r="744" spans="1:3" s="46" customFormat="1" outlineLevel="1" x14ac:dyDescent="0.3">
      <c r="A744" s="50" t="s">
        <v>1223</v>
      </c>
      <c r="B744" s="48" t="s">
        <v>1222</v>
      </c>
      <c r="C744" s="34" t="str">
        <f t="shared" si="35"/>
        <v>7420 (Kab. Sabu Raijua)</v>
      </c>
    </row>
    <row r="745" spans="1:3" s="46" customFormat="1" outlineLevel="1" x14ac:dyDescent="0.3">
      <c r="A745" s="50" t="s">
        <v>1225</v>
      </c>
      <c r="B745" s="48" t="s">
        <v>1224</v>
      </c>
      <c r="C745" s="34" t="str">
        <f t="shared" si="35"/>
        <v>7421 (Kab. Malaka)</v>
      </c>
    </row>
    <row r="746" spans="1:3" s="46" customFormat="1" outlineLevel="1" x14ac:dyDescent="0.3">
      <c r="A746" s="50" t="s">
        <v>1227</v>
      </c>
      <c r="B746" s="48" t="s">
        <v>1226</v>
      </c>
      <c r="C746" s="34" t="str">
        <f t="shared" si="35"/>
        <v>7491 (Kota Kupang)</v>
      </c>
    </row>
    <row r="747" spans="1:3" s="46" customFormat="1" outlineLevel="1" x14ac:dyDescent="0.3">
      <c r="A747" s="51"/>
      <c r="B747" s="48" t="s">
        <v>1228</v>
      </c>
      <c r="C747" s="34" t="str">
        <f t="shared" si="35"/>
        <v/>
      </c>
    </row>
    <row r="748" spans="1:3" s="46" customFormat="1" outlineLevel="1" x14ac:dyDescent="0.3">
      <c r="A748" s="50" t="s">
        <v>1230</v>
      </c>
      <c r="B748" s="48" t="s">
        <v>1229</v>
      </c>
      <c r="C748" s="34" t="str">
        <f t="shared" si="35"/>
        <v>8101 (Kab. Maluku Tengah)</v>
      </c>
    </row>
    <row r="749" spans="1:3" s="46" customFormat="1" outlineLevel="1" x14ac:dyDescent="0.3">
      <c r="A749" s="50" t="s">
        <v>1232</v>
      </c>
      <c r="B749" s="48" t="s">
        <v>1231</v>
      </c>
      <c r="C749" s="34" t="str">
        <f t="shared" si="35"/>
        <v>8102 (Kab. Maluku Tenggara)</v>
      </c>
    </row>
    <row r="750" spans="1:3" s="46" customFormat="1" outlineLevel="1" x14ac:dyDescent="0.3">
      <c r="A750" s="50" t="s">
        <v>1234</v>
      </c>
      <c r="B750" s="48" t="s">
        <v>1233</v>
      </c>
      <c r="C750" s="34" t="str">
        <f t="shared" si="35"/>
        <v>8103 (Kab. Maluku Tenggara Barat)</v>
      </c>
    </row>
    <row r="751" spans="1:3" s="46" customFormat="1" outlineLevel="1" x14ac:dyDescent="0.3">
      <c r="A751" s="50" t="s">
        <v>1236</v>
      </c>
      <c r="B751" s="48" t="s">
        <v>1235</v>
      </c>
      <c r="C751" s="34" t="str">
        <f t="shared" si="35"/>
        <v>8104 (Kab. Buru)</v>
      </c>
    </row>
    <row r="752" spans="1:3" s="46" customFormat="1" outlineLevel="1" x14ac:dyDescent="0.3">
      <c r="A752" s="50" t="s">
        <v>1238</v>
      </c>
      <c r="B752" s="48" t="s">
        <v>1237</v>
      </c>
      <c r="C752" s="34" t="str">
        <f t="shared" si="35"/>
        <v>8105 (Kab. Seram Bagian Barat)</v>
      </c>
    </row>
    <row r="753" spans="1:3" s="46" customFormat="1" outlineLevel="1" x14ac:dyDescent="0.3">
      <c r="A753" s="50" t="s">
        <v>1240</v>
      </c>
      <c r="B753" s="48" t="s">
        <v>1239</v>
      </c>
      <c r="C753" s="34" t="str">
        <f t="shared" si="35"/>
        <v>8106 (Kab. Seram Bagian Timur)</v>
      </c>
    </row>
    <row r="754" spans="1:3" s="46" customFormat="1" outlineLevel="1" x14ac:dyDescent="0.3">
      <c r="A754" s="50" t="s">
        <v>1242</v>
      </c>
      <c r="B754" s="48" t="s">
        <v>1241</v>
      </c>
      <c r="C754" s="34" t="str">
        <f t="shared" si="35"/>
        <v>8107 (Kab. Kepulauan Aru)</v>
      </c>
    </row>
    <row r="755" spans="1:3" s="46" customFormat="1" outlineLevel="1" x14ac:dyDescent="0.3">
      <c r="A755" s="50" t="s">
        <v>1244</v>
      </c>
      <c r="B755" s="48" t="s">
        <v>1243</v>
      </c>
      <c r="C755" s="34" t="str">
        <f t="shared" si="35"/>
        <v>8108 (Kab. Maluku Barat Daya)</v>
      </c>
    </row>
    <row r="756" spans="1:3" s="46" customFormat="1" outlineLevel="1" x14ac:dyDescent="0.3">
      <c r="A756" s="50" t="s">
        <v>1246</v>
      </c>
      <c r="B756" s="48" t="s">
        <v>1245</v>
      </c>
      <c r="C756" s="34" t="str">
        <f t="shared" si="35"/>
        <v>8109 (Kab. Buru Selatan)</v>
      </c>
    </row>
    <row r="757" spans="1:3" s="46" customFormat="1" outlineLevel="1" x14ac:dyDescent="0.3">
      <c r="A757" s="50" t="s">
        <v>1248</v>
      </c>
      <c r="B757" s="48" t="s">
        <v>1247</v>
      </c>
      <c r="C757" s="34" t="str">
        <f t="shared" si="35"/>
        <v>8191 (Kota Ambon)</v>
      </c>
    </row>
    <row r="758" spans="1:3" s="46" customFormat="1" outlineLevel="1" x14ac:dyDescent="0.3">
      <c r="A758" s="50" t="s">
        <v>1250</v>
      </c>
      <c r="B758" s="48" t="s">
        <v>1249</v>
      </c>
      <c r="C758" s="34" t="str">
        <f t="shared" si="35"/>
        <v>8192 (Kota Tual)</v>
      </c>
    </row>
    <row r="759" spans="1:3" s="46" customFormat="1" outlineLevel="1" x14ac:dyDescent="0.3">
      <c r="A759" s="51"/>
      <c r="B759" s="48" t="s">
        <v>1251</v>
      </c>
      <c r="C759" s="34" t="str">
        <f t="shared" si="35"/>
        <v/>
      </c>
    </row>
    <row r="760" spans="1:3" s="46" customFormat="1" outlineLevel="1" x14ac:dyDescent="0.3">
      <c r="A760" s="50" t="s">
        <v>1253</v>
      </c>
      <c r="B760" s="48" t="s">
        <v>1252</v>
      </c>
      <c r="C760" s="34" t="str">
        <f t="shared" si="35"/>
        <v>8201 (Kab. Jayapura)</v>
      </c>
    </row>
    <row r="761" spans="1:3" s="46" customFormat="1" outlineLevel="1" x14ac:dyDescent="0.3">
      <c r="A761" s="50" t="s">
        <v>1255</v>
      </c>
      <c r="B761" s="48" t="s">
        <v>1254</v>
      </c>
      <c r="C761" s="34" t="str">
        <f t="shared" si="35"/>
        <v>8202 (Kab. Biak Numfor)</v>
      </c>
    </row>
    <row r="762" spans="1:3" s="46" customFormat="1" outlineLevel="1" x14ac:dyDescent="0.3">
      <c r="A762" s="50" t="s">
        <v>1257</v>
      </c>
      <c r="B762" s="48" t="s">
        <v>1256</v>
      </c>
      <c r="C762" s="34" t="str">
        <f t="shared" si="35"/>
        <v>8210 (Kab. Kepulauan Yapen-Waropen)</v>
      </c>
    </row>
    <row r="763" spans="1:3" s="46" customFormat="1" outlineLevel="1" x14ac:dyDescent="0.3">
      <c r="A763" s="50" t="s">
        <v>1259</v>
      </c>
      <c r="B763" s="48" t="s">
        <v>1258</v>
      </c>
      <c r="C763" s="34" t="str">
        <f t="shared" si="35"/>
        <v>8211 (Kab. Merauke)</v>
      </c>
    </row>
    <row r="764" spans="1:3" s="46" customFormat="1" outlineLevel="1" x14ac:dyDescent="0.3">
      <c r="A764" s="50" t="s">
        <v>1261</v>
      </c>
      <c r="B764" s="48" t="s">
        <v>1260</v>
      </c>
      <c r="C764" s="34" t="str">
        <f t="shared" si="35"/>
        <v>8212 (Kab. Paniai)</v>
      </c>
    </row>
    <row r="765" spans="1:3" s="46" customFormat="1" outlineLevel="1" x14ac:dyDescent="0.3">
      <c r="A765" s="50" t="s">
        <v>1263</v>
      </c>
      <c r="B765" s="48" t="s">
        <v>1262</v>
      </c>
      <c r="C765" s="34" t="str">
        <f t="shared" si="35"/>
        <v>8213 (Kab. Jayawijaya)</v>
      </c>
    </row>
    <row r="766" spans="1:3" s="46" customFormat="1" outlineLevel="1" x14ac:dyDescent="0.3">
      <c r="A766" s="50" t="s">
        <v>1265</v>
      </c>
      <c r="B766" s="48" t="s">
        <v>1264</v>
      </c>
      <c r="C766" s="34" t="str">
        <f t="shared" si="35"/>
        <v>8214 (Kab. Nabire)</v>
      </c>
    </row>
    <row r="767" spans="1:3" s="46" customFormat="1" outlineLevel="1" x14ac:dyDescent="0.3">
      <c r="A767" s="50" t="s">
        <v>1267</v>
      </c>
      <c r="B767" s="48" t="s">
        <v>1266</v>
      </c>
      <c r="C767" s="34" t="str">
        <f t="shared" si="35"/>
        <v>8215 (Kab. Mimika)</v>
      </c>
    </row>
    <row r="768" spans="1:3" s="46" customFormat="1" outlineLevel="1" x14ac:dyDescent="0.3">
      <c r="A768" s="50" t="s">
        <v>1269</v>
      </c>
      <c r="B768" s="48" t="s">
        <v>1268</v>
      </c>
      <c r="C768" s="34" t="str">
        <f t="shared" si="35"/>
        <v>8216 (Kab. Puncak Jaya)</v>
      </c>
    </row>
    <row r="769" spans="1:3" s="46" customFormat="1" outlineLevel="1" x14ac:dyDescent="0.3">
      <c r="A769" s="50" t="s">
        <v>1271</v>
      </c>
      <c r="B769" s="48" t="s">
        <v>1270</v>
      </c>
      <c r="C769" s="34" t="str">
        <f t="shared" si="35"/>
        <v>8217 (Kab. Sarmi)</v>
      </c>
    </row>
    <row r="770" spans="1:3" s="46" customFormat="1" outlineLevel="1" x14ac:dyDescent="0.3">
      <c r="A770" s="50" t="s">
        <v>1273</v>
      </c>
      <c r="B770" s="48" t="s">
        <v>1272</v>
      </c>
      <c r="C770" s="34" t="str">
        <f t="shared" si="35"/>
        <v>8218 (Kab. Keerom)</v>
      </c>
    </row>
    <row r="771" spans="1:3" s="46" customFormat="1" outlineLevel="1" x14ac:dyDescent="0.3">
      <c r="A771" s="50" t="s">
        <v>1275</v>
      </c>
      <c r="B771" s="48" t="s">
        <v>1274</v>
      </c>
      <c r="C771" s="34" t="str">
        <f t="shared" si="35"/>
        <v>8221 (Kab. Pegunungan Bintang)</v>
      </c>
    </row>
    <row r="772" spans="1:3" s="46" customFormat="1" outlineLevel="1" x14ac:dyDescent="0.3">
      <c r="A772" s="50" t="s">
        <v>1277</v>
      </c>
      <c r="B772" s="48" t="s">
        <v>1276</v>
      </c>
      <c r="C772" s="34" t="str">
        <f t="shared" si="35"/>
        <v>8222 (Kab. Yahukimo)</v>
      </c>
    </row>
    <row r="773" spans="1:3" s="46" customFormat="1" outlineLevel="1" x14ac:dyDescent="0.3">
      <c r="A773" s="50" t="s">
        <v>1279</v>
      </c>
      <c r="B773" s="48" t="s">
        <v>1278</v>
      </c>
      <c r="C773" s="34" t="str">
        <f t="shared" si="35"/>
        <v>8223 (Kab. Tolikara)</v>
      </c>
    </row>
    <row r="774" spans="1:3" s="46" customFormat="1" outlineLevel="1" x14ac:dyDescent="0.3">
      <c r="A774" s="50" t="s">
        <v>1281</v>
      </c>
      <c r="B774" s="48" t="s">
        <v>1280</v>
      </c>
      <c r="C774" s="34" t="str">
        <f t="shared" si="35"/>
        <v>8224 (Kab. Waropen)</v>
      </c>
    </row>
    <row r="775" spans="1:3" s="46" customFormat="1" outlineLevel="1" x14ac:dyDescent="0.3">
      <c r="A775" s="50" t="s">
        <v>1283</v>
      </c>
      <c r="B775" s="48" t="s">
        <v>1282</v>
      </c>
      <c r="C775" s="34" t="str">
        <f t="shared" si="35"/>
        <v>8226 (Kab. Boven Digoel)</v>
      </c>
    </row>
    <row r="776" spans="1:3" s="46" customFormat="1" outlineLevel="1" x14ac:dyDescent="0.3">
      <c r="A776" s="50" t="s">
        <v>1285</v>
      </c>
      <c r="B776" s="48" t="s">
        <v>1284</v>
      </c>
      <c r="C776" s="34" t="str">
        <f t="shared" si="35"/>
        <v>8227 (Kab. Mappi)</v>
      </c>
    </row>
    <row r="777" spans="1:3" s="46" customFormat="1" outlineLevel="1" x14ac:dyDescent="0.3">
      <c r="A777" s="50" t="s">
        <v>1287</v>
      </c>
      <c r="B777" s="48" t="s">
        <v>1286</v>
      </c>
      <c r="C777" s="34" t="str">
        <f t="shared" si="35"/>
        <v>8228 (Kab. Asmat)</v>
      </c>
    </row>
    <row r="778" spans="1:3" s="46" customFormat="1" outlineLevel="1" x14ac:dyDescent="0.3">
      <c r="A778" s="50" t="s">
        <v>1289</v>
      </c>
      <c r="B778" s="48" t="s">
        <v>1288</v>
      </c>
      <c r="C778" s="34" t="str">
        <f t="shared" si="35"/>
        <v>8231 (Kab. Supiori)</v>
      </c>
    </row>
    <row r="779" spans="1:3" s="46" customFormat="1" outlineLevel="1" x14ac:dyDescent="0.3">
      <c r="A779" s="50" t="s">
        <v>1291</v>
      </c>
      <c r="B779" s="48" t="s">
        <v>1290</v>
      </c>
      <c r="C779" s="34" t="str">
        <f t="shared" ref="C779:C814" si="36">IF(A779&lt;&gt;"",CONCATENATE(A779, " (",B779,")"),"")</f>
        <v>8232 (Kab. Mamberamo Raya)</v>
      </c>
    </row>
    <row r="780" spans="1:3" s="46" customFormat="1" outlineLevel="1" x14ac:dyDescent="0.3">
      <c r="A780" s="50" t="s">
        <v>1293</v>
      </c>
      <c r="B780" s="48" t="s">
        <v>1292</v>
      </c>
      <c r="C780" s="34" t="str">
        <f t="shared" si="36"/>
        <v>8233 (Kab. Dogiyai)</v>
      </c>
    </row>
    <row r="781" spans="1:3" s="46" customFormat="1" outlineLevel="1" x14ac:dyDescent="0.3">
      <c r="A781" s="50" t="s">
        <v>1295</v>
      </c>
      <c r="B781" s="48" t="s">
        <v>1294</v>
      </c>
      <c r="C781" s="34" t="str">
        <f t="shared" si="36"/>
        <v>8234 (Kab. Lanny Jaya)</v>
      </c>
    </row>
    <row r="782" spans="1:3" s="46" customFormat="1" outlineLevel="1" x14ac:dyDescent="0.3">
      <c r="A782" s="50" t="s">
        <v>1297</v>
      </c>
      <c r="B782" s="48" t="s">
        <v>1296</v>
      </c>
      <c r="C782" s="34" t="str">
        <f t="shared" si="36"/>
        <v>8235 (Kab. Mamberamo Tengah)</v>
      </c>
    </row>
    <row r="783" spans="1:3" s="46" customFormat="1" outlineLevel="1" x14ac:dyDescent="0.3">
      <c r="A783" s="50" t="s">
        <v>1299</v>
      </c>
      <c r="B783" s="48" t="s">
        <v>1298</v>
      </c>
      <c r="C783" s="34" t="str">
        <f t="shared" si="36"/>
        <v>8236 (Kab. Nduga)</v>
      </c>
    </row>
    <row r="784" spans="1:3" s="46" customFormat="1" outlineLevel="1" x14ac:dyDescent="0.3">
      <c r="A784" s="52">
        <v>8237</v>
      </c>
      <c r="B784" s="48" t="s">
        <v>1300</v>
      </c>
      <c r="C784" s="34" t="str">
        <f t="shared" si="36"/>
        <v>8237 (Kab. Yalimo)</v>
      </c>
    </row>
    <row r="785" spans="1:3" s="46" customFormat="1" outlineLevel="1" x14ac:dyDescent="0.3">
      <c r="A785" s="52">
        <v>8238</v>
      </c>
      <c r="B785" s="48" t="s">
        <v>1301</v>
      </c>
      <c r="C785" s="34" t="str">
        <f t="shared" si="36"/>
        <v>8238 (Kab. Puncak)</v>
      </c>
    </row>
    <row r="786" spans="1:3" s="46" customFormat="1" outlineLevel="1" x14ac:dyDescent="0.3">
      <c r="A786" s="52">
        <v>8239</v>
      </c>
      <c r="B786" s="48" t="s">
        <v>1302</v>
      </c>
      <c r="C786" s="34" t="str">
        <f t="shared" si="36"/>
        <v>8239 (Kab. Intan Jaya)</v>
      </c>
    </row>
    <row r="787" spans="1:3" s="46" customFormat="1" outlineLevel="1" x14ac:dyDescent="0.3">
      <c r="A787" s="52">
        <v>8240</v>
      </c>
      <c r="B787" s="48" t="s">
        <v>1303</v>
      </c>
      <c r="C787" s="34" t="str">
        <f t="shared" si="36"/>
        <v>8240 (Kab. Deiya)</v>
      </c>
    </row>
    <row r="788" spans="1:3" s="46" customFormat="1" outlineLevel="1" x14ac:dyDescent="0.3">
      <c r="A788" s="52">
        <v>8291</v>
      </c>
      <c r="B788" s="48" t="s">
        <v>1304</v>
      </c>
      <c r="C788" s="34" t="str">
        <f t="shared" si="36"/>
        <v>8291 (Kota Jayapura)</v>
      </c>
    </row>
    <row r="789" spans="1:3" s="46" customFormat="1" outlineLevel="1" x14ac:dyDescent="0.3">
      <c r="A789" s="51"/>
      <c r="B789" s="48" t="s">
        <v>1305</v>
      </c>
      <c r="C789" s="34" t="str">
        <f t="shared" si="36"/>
        <v/>
      </c>
    </row>
    <row r="790" spans="1:3" s="46" customFormat="1" outlineLevel="1" x14ac:dyDescent="0.3">
      <c r="A790" s="52">
        <v>8302</v>
      </c>
      <c r="B790" s="48" t="s">
        <v>1306</v>
      </c>
      <c r="C790" s="34" t="str">
        <f t="shared" si="36"/>
        <v>8302 (Kab. Halmahera Tengah)</v>
      </c>
    </row>
    <row r="791" spans="1:3" s="46" customFormat="1" outlineLevel="1" x14ac:dyDescent="0.3">
      <c r="A791" s="52">
        <v>8303</v>
      </c>
      <c r="B791" s="48" t="s">
        <v>1307</v>
      </c>
      <c r="C791" s="34" t="str">
        <f t="shared" si="36"/>
        <v>8303 (Kab. Halmahera Utara)</v>
      </c>
    </row>
    <row r="792" spans="1:3" s="46" customFormat="1" outlineLevel="1" x14ac:dyDescent="0.3">
      <c r="A792" s="52">
        <v>8304</v>
      </c>
      <c r="B792" s="48" t="s">
        <v>1308</v>
      </c>
      <c r="C792" s="34" t="str">
        <f t="shared" si="36"/>
        <v>8304 (Kab. Halmahera Timur)</v>
      </c>
    </row>
    <row r="793" spans="1:3" s="46" customFormat="1" outlineLevel="1" x14ac:dyDescent="0.3">
      <c r="A793" s="52">
        <v>8305</v>
      </c>
      <c r="B793" s="48" t="s">
        <v>1309</v>
      </c>
      <c r="C793" s="34" t="str">
        <f t="shared" si="36"/>
        <v>8305 (Kab. Halmahera Barat)</v>
      </c>
    </row>
    <row r="794" spans="1:3" s="46" customFormat="1" outlineLevel="1" x14ac:dyDescent="0.3">
      <c r="A794" s="52">
        <v>8306</v>
      </c>
      <c r="B794" s="48" t="s">
        <v>1310</v>
      </c>
      <c r="C794" s="34" t="str">
        <f t="shared" si="36"/>
        <v>8306 (Kab. Halmahera Selatan)</v>
      </c>
    </row>
    <row r="795" spans="1:3" s="46" customFormat="1" outlineLevel="1" x14ac:dyDescent="0.3">
      <c r="A795" s="52">
        <v>8307</v>
      </c>
      <c r="B795" s="48" t="s">
        <v>1311</v>
      </c>
      <c r="C795" s="34" t="str">
        <f t="shared" si="36"/>
        <v>8307 (Kab. Kepulauan Sula)</v>
      </c>
    </row>
    <row r="796" spans="1:3" s="46" customFormat="1" outlineLevel="1" x14ac:dyDescent="0.3">
      <c r="A796" s="52">
        <v>8308</v>
      </c>
      <c r="B796" s="48" t="s">
        <v>1312</v>
      </c>
      <c r="C796" s="34" t="str">
        <f t="shared" si="36"/>
        <v>8308 (Kab. Pulau Morotai)</v>
      </c>
    </row>
    <row r="797" spans="1:3" s="46" customFormat="1" outlineLevel="1" x14ac:dyDescent="0.3">
      <c r="A797" s="52">
        <v>8309</v>
      </c>
      <c r="B797" s="48" t="s">
        <v>1313</v>
      </c>
      <c r="C797" s="34" t="str">
        <f t="shared" si="36"/>
        <v>8309 (Kab. Pulau Taliabu)</v>
      </c>
    </row>
    <row r="798" spans="1:3" s="46" customFormat="1" outlineLevel="1" x14ac:dyDescent="0.3">
      <c r="A798" s="52">
        <v>8390</v>
      </c>
      <c r="B798" s="48" t="s">
        <v>1314</v>
      </c>
      <c r="C798" s="34" t="str">
        <f t="shared" si="36"/>
        <v>8390 (Kota Ternate)</v>
      </c>
    </row>
    <row r="799" spans="1:3" s="46" customFormat="1" outlineLevel="1" x14ac:dyDescent="0.3">
      <c r="A799" s="52">
        <v>8391</v>
      </c>
      <c r="B799" s="48" t="s">
        <v>1315</v>
      </c>
      <c r="C799" s="34" t="str">
        <f t="shared" si="36"/>
        <v>8391 (Kota Tidore Kepulauan)</v>
      </c>
    </row>
    <row r="800" spans="1:3" s="46" customFormat="1" outlineLevel="1" x14ac:dyDescent="0.3">
      <c r="A800" s="51"/>
      <c r="B800" s="48" t="s">
        <v>1316</v>
      </c>
      <c r="C800" s="34" t="str">
        <f t="shared" si="36"/>
        <v/>
      </c>
    </row>
    <row r="801" spans="1:3" s="46" customFormat="1" outlineLevel="1" x14ac:dyDescent="0.3">
      <c r="A801" s="52">
        <v>8401</v>
      </c>
      <c r="B801" s="48" t="s">
        <v>1317</v>
      </c>
      <c r="C801" s="34" t="str">
        <f t="shared" si="36"/>
        <v>8401 (Kab. Sorong)</v>
      </c>
    </row>
    <row r="802" spans="1:3" s="46" customFormat="1" outlineLevel="1" x14ac:dyDescent="0.3">
      <c r="A802" s="52">
        <v>8402</v>
      </c>
      <c r="B802" s="48" t="s">
        <v>1318</v>
      </c>
      <c r="C802" s="34" t="str">
        <f t="shared" si="36"/>
        <v>8402 (Kab. Fak-Fak)</v>
      </c>
    </row>
    <row r="803" spans="1:3" s="46" customFormat="1" outlineLevel="1" x14ac:dyDescent="0.3">
      <c r="A803" s="52">
        <v>8403</v>
      </c>
      <c r="B803" s="48" t="s">
        <v>1319</v>
      </c>
      <c r="C803" s="34" t="str">
        <f t="shared" si="36"/>
        <v>8403 (Kab. Manokwari)</v>
      </c>
    </row>
    <row r="804" spans="1:3" s="46" customFormat="1" outlineLevel="1" x14ac:dyDescent="0.3">
      <c r="A804" s="52">
        <v>8404</v>
      </c>
      <c r="B804" s="48" t="s">
        <v>1320</v>
      </c>
      <c r="C804" s="34" t="str">
        <f t="shared" si="36"/>
        <v>8404 (Kab. Sorong Selatan)</v>
      </c>
    </row>
    <row r="805" spans="1:3" s="46" customFormat="1" outlineLevel="1" x14ac:dyDescent="0.3">
      <c r="A805" s="52">
        <v>8405</v>
      </c>
      <c r="B805" s="48" t="s">
        <v>1321</v>
      </c>
      <c r="C805" s="34" t="str">
        <f t="shared" si="36"/>
        <v>8405 (Kab. Raja Ampat)</v>
      </c>
    </row>
    <row r="806" spans="1:3" s="46" customFormat="1" outlineLevel="1" x14ac:dyDescent="0.3">
      <c r="A806" s="52">
        <v>8406</v>
      </c>
      <c r="B806" s="48" t="s">
        <v>1322</v>
      </c>
      <c r="C806" s="34" t="str">
        <f t="shared" si="36"/>
        <v>8406 (Kab. Kaimana)</v>
      </c>
    </row>
    <row r="807" spans="1:3" s="46" customFormat="1" outlineLevel="1" x14ac:dyDescent="0.3">
      <c r="A807" s="52">
        <v>8407</v>
      </c>
      <c r="B807" s="48" t="s">
        <v>1323</v>
      </c>
      <c r="C807" s="34" t="str">
        <f t="shared" si="36"/>
        <v>8407 (Kab. Teluk Bintuni)</v>
      </c>
    </row>
    <row r="808" spans="1:3" s="46" customFormat="1" outlineLevel="1" x14ac:dyDescent="0.3">
      <c r="A808" s="52">
        <v>8408</v>
      </c>
      <c r="B808" s="48" t="s">
        <v>1324</v>
      </c>
      <c r="C808" s="34" t="str">
        <f t="shared" si="36"/>
        <v>8408 (Kab. Teluk Wondama)</v>
      </c>
    </row>
    <row r="809" spans="1:3" s="46" customFormat="1" outlineLevel="1" x14ac:dyDescent="0.3">
      <c r="A809" s="52">
        <v>8409</v>
      </c>
      <c r="B809" s="48" t="s">
        <v>1325</v>
      </c>
      <c r="C809" s="34" t="str">
        <f t="shared" si="36"/>
        <v>8409 (Kab. Tembrauw)</v>
      </c>
    </row>
    <row r="810" spans="1:3" s="46" customFormat="1" outlineLevel="1" x14ac:dyDescent="0.3">
      <c r="A810" s="52">
        <v>8410</v>
      </c>
      <c r="B810" s="48" t="s">
        <v>1326</v>
      </c>
      <c r="C810" s="34" t="str">
        <f t="shared" si="36"/>
        <v>8410 (Kab. Maybrat)</v>
      </c>
    </row>
    <row r="811" spans="1:3" s="46" customFormat="1" outlineLevel="1" x14ac:dyDescent="0.3">
      <c r="A811" s="52">
        <v>8411</v>
      </c>
      <c r="B811" s="48" t="s">
        <v>1327</v>
      </c>
      <c r="C811" s="34" t="str">
        <f t="shared" si="36"/>
        <v>8411 (Kab. Pegunungan Arfak)</v>
      </c>
    </row>
    <row r="812" spans="1:3" s="46" customFormat="1" outlineLevel="1" x14ac:dyDescent="0.3">
      <c r="A812" s="52">
        <v>8412</v>
      </c>
      <c r="B812" s="48" t="s">
        <v>1328</v>
      </c>
      <c r="C812" s="34" t="str">
        <f t="shared" si="36"/>
        <v>8412 (Kab. Manokwari Selatan)</v>
      </c>
    </row>
    <row r="813" spans="1:3" s="46" customFormat="1" outlineLevel="1" x14ac:dyDescent="0.3">
      <c r="A813" s="52">
        <v>8491</v>
      </c>
      <c r="B813" s="48" t="s">
        <v>1329</v>
      </c>
      <c r="C813" s="34" t="str">
        <f t="shared" si="36"/>
        <v>8491 (Kota Sorong)</v>
      </c>
    </row>
    <row r="814" spans="1:3" s="46" customFormat="1" outlineLevel="1" x14ac:dyDescent="0.3">
      <c r="A814" s="52">
        <v>9999</v>
      </c>
      <c r="B814" s="48" t="s">
        <v>1330</v>
      </c>
      <c r="C814" s="34" t="str">
        <f t="shared" si="36"/>
        <v>9999 (Di Luar Indonesia)</v>
      </c>
    </row>
  </sheetData>
  <pageMargins left="0.7" right="0.7" top="0.75" bottom="0.75" header="0.3" footer="0.3"/>
  <pageSetup orientation="portrait" horizontalDpi="90" verticalDpi="9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22</vt:i4>
      </vt:variant>
    </vt:vector>
  </HeadingPairs>
  <TitlesOfParts>
    <vt:vector size="28" baseType="lpstr">
      <vt:lpstr>DATA</vt:lpstr>
      <vt:lpstr>Daftar Form</vt:lpstr>
      <vt:lpstr>Header</vt:lpstr>
      <vt:lpstr>01A</vt:lpstr>
      <vt:lpstr>01B</vt:lpstr>
      <vt:lpstr>#REF</vt:lpstr>
      <vt:lpstr>correctionType</vt:lpstr>
      <vt:lpstr>refAktifitasterkaitFraud</vt:lpstr>
      <vt:lpstr>refJabatanPelakuSaatFraudDiketahui</vt:lpstr>
      <vt:lpstr>refJabatanPelakuSaatFraudTerjadi</vt:lpstr>
      <vt:lpstr>refJenisFraud</vt:lpstr>
      <vt:lpstr>refJenisIdentitas</vt:lpstr>
      <vt:lpstr>refJenisKelamin</vt:lpstr>
      <vt:lpstr>refKejadianFraudJoin</vt:lpstr>
      <vt:lpstr>refKejadianMenurutPelaku</vt:lpstr>
      <vt:lpstr>refKejadianMenurutPelakuSig</vt:lpstr>
      <vt:lpstr>refKelemahanPenyebabFraud</vt:lpstr>
      <vt:lpstr>refKeteranganPelaku</vt:lpstr>
      <vt:lpstr>refLokasiFraud</vt:lpstr>
      <vt:lpstr>refPelakuFraud</vt:lpstr>
      <vt:lpstr>refPihakYangDirugikan</vt:lpstr>
      <vt:lpstr>refSectorCode</vt:lpstr>
      <vt:lpstr>refStatus</vt:lpstr>
      <vt:lpstr>refStatusPelaku</vt:lpstr>
      <vt:lpstr>refTindakanPerbaikanUntukPencegahanFraud</vt:lpstr>
      <vt:lpstr>refTindakanUntukPenangananFraud</vt:lpstr>
      <vt:lpstr>refYT</vt:lpstr>
      <vt:lpstr>reportCode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Arnol Faizal (PCS)</dc:creator>
  <cp:lastModifiedBy>Budi Kurniawan</cp:lastModifiedBy>
  <cp:revision/>
  <cp:lastPrinted>2026-01-27T08:15:44Z</cp:lastPrinted>
  <dcterms:created xsi:type="dcterms:W3CDTF">2018-09-18T02:54:15Z</dcterms:created>
  <dcterms:modified xsi:type="dcterms:W3CDTF">2026-01-27T11:15:11Z</dcterms:modified>
</cp:coreProperties>
</file>